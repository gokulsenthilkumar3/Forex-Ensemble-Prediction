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R:\Commodities\2026a\Webcharts\"/>
    </mc:Choice>
  </mc:AlternateContent>
  <xr:revisionPtr revIDLastSave="0" documentId="13_ncr:1_{83579F78-5C8D-40BD-BF77-567248426544}" xr6:coauthVersionLast="47" xr6:coauthVersionMax="47" xr10:uidLastSave="{00000000-0000-0000-0000-000000000000}"/>
  <bookViews>
    <workbookView xWindow="11030" yWindow="5210" windowWidth="25590" windowHeight="15370" xr2:uid="{9702391A-E815-4E81-BA61-0C11EC87AFEF}"/>
  </bookViews>
  <sheets>
    <sheet name="Read Me" sheetId="9" r:id="rId1"/>
    <sheet name="19.A." sheetId="1" r:id="rId2"/>
    <sheet name="19.B." sheetId="5" r:id="rId3"/>
    <sheet name="19.C." sheetId="7" r:id="rId4"/>
    <sheet name="19.D"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9" l="1"/>
  <c r="A4" i="9"/>
  <c r="A3" i="9"/>
  <c r="A2" i="9"/>
</calcChain>
</file>

<file path=xl/sharedStrings.xml><?xml version="1.0" encoding="utf-8"?>
<sst xmlns="http://schemas.openxmlformats.org/spreadsheetml/2006/main" count="41" uniqueCount="33">
  <si>
    <t>Base metals</t>
  </si>
  <si>
    <t xml:space="preserve">Iron ore </t>
  </si>
  <si>
    <t>Figure 19.A. Base metals and iron ore prices</t>
  </si>
  <si>
    <t>Index</t>
  </si>
  <si>
    <t>Sources: Bloomberg; World Bank.</t>
  </si>
  <si>
    <t>Note: Base metals and iron ore price indexes. Last observation is March 2026.</t>
  </si>
  <si>
    <t>Return to Read Me</t>
  </si>
  <si>
    <t>Figure 19.B. Aluminum and copper prices</t>
  </si>
  <si>
    <t>Aluminum</t>
  </si>
  <si>
    <t>Copper</t>
  </si>
  <si>
    <t>Figure 19.C. Base metals production growth, 2025</t>
  </si>
  <si>
    <t>Tin</t>
  </si>
  <si>
    <t>Nickel</t>
  </si>
  <si>
    <t>Zinc</t>
  </si>
  <si>
    <t>Lead</t>
  </si>
  <si>
    <t>Figure 19.D. Base metal price forecasts for 2026</t>
  </si>
  <si>
    <t>Note: Bars show year-on-year change.</t>
  </si>
  <si>
    <t>Metal</t>
  </si>
  <si>
    <t>2025 Growth</t>
  </si>
  <si>
    <t>Zinc 
(RHS)</t>
  </si>
  <si>
    <t>Aluminum (RHS)</t>
  </si>
  <si>
    <t>Lead 
(RHS)</t>
  </si>
  <si>
    <t>2026 April forecasts</t>
  </si>
  <si>
    <t>2026 January forecasts</t>
  </si>
  <si>
    <t>Forecast range</t>
  </si>
  <si>
    <t xml:space="preserve">Sources: Arroyo Marioli et al. (2023); World Bank. </t>
  </si>
  <si>
    <t>Negative</t>
  </si>
  <si>
    <t>Positive</t>
  </si>
  <si>
    <t>Figure 19. Metals and minerals market</t>
  </si>
  <si>
    <t>Note: Daily aluminum and copper price indexes. Last observation is April 20, 2026.</t>
  </si>
  <si>
    <t>Sources: Refinitiv (database); World Bank.</t>
  </si>
  <si>
    <t>Source: World Bank.</t>
  </si>
  <si>
    <t>Note: mt = metric tons; RHS = right hand scale. Blue bars show the World Bank Group’s baseline forecast for 2026. Red markers show January 2026 forecasts. Yellow whiskers show forecast range for 2026 using the most optimistic and pessimistic models, as presented in Arroyo Marioli et 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</si>
</sst>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6">
    <font>
      <sz val="11"/>
      <color theme="1"/>
      <name val="Calibri"/>
      <family val="2"/>
    </font>
    <font>
      <sz val="14"/>
      <color theme="1"/>
      <name val="Arial"/>
      <family val="2"/>
    </font>
    <font>
      <sz val="14"/>
      <color theme="1"/>
      <name val="Arial"/>
      <family val="2"/>
    </font>
    <font>
      <sz val="11"/>
      <color theme="1"/>
      <name val="Aptos"/>
      <family val="2"/>
    </font>
    <font>
      <sz val="14"/>
      <name val="Arial"/>
      <family val="2"/>
    </font>
    <font>
      <sz val="14"/>
      <color theme="1"/>
      <name val="Arial"/>
      <family val="2"/>
    </font>
    <font>
      <b/>
      <sz val="20"/>
      <color theme="1"/>
      <name val="Arial"/>
      <family val="2"/>
    </font>
    <font>
      <sz val="14"/>
      <color theme="1"/>
      <name val="Calibri"/>
      <family val="2"/>
    </font>
    <font>
      <u/>
      <sz val="11"/>
      <color theme="10"/>
      <name val="Calibri"/>
      <family val="2"/>
    </font>
    <font>
      <u/>
      <sz val="14"/>
      <color theme="10"/>
      <name val="Arial"/>
      <family val="2"/>
    </font>
    <font>
      <sz val="10"/>
      <name val="Arial"/>
      <family val="2"/>
    </font>
    <font>
      <b/>
      <sz val="14"/>
      <color theme="1"/>
      <name val="Arial"/>
      <family val="2"/>
    </font>
    <font>
      <u/>
      <sz val="14"/>
      <color theme="10"/>
      <name val="Arial "/>
    </font>
    <font>
      <sz val="11"/>
      <name val="Calibri"/>
      <family val="2"/>
    </font>
    <font>
      <sz val="11"/>
      <name val="Calibri"/>
      <family val="2"/>
    </font>
    <font>
      <sz val="14"/>
      <color theme="4" tint="-0.499984740745262"/>
      <name val="Arial"/>
      <family val="2"/>
    </font>
  </fonts>
  <fills count="2">
    <fill>
      <patternFill patternType="none"/>
    </fill>
    <fill>
      <patternFill patternType="gray125"/>
    </fill>
  </fills>
  <borders count="1">
    <border>
      <left/>
      <right/>
      <top/>
      <bottom/>
      <diagonal/>
    </border>
  </borders>
  <cellStyleXfs count="5">
    <xf numFmtId="0" fontId="0" fillId="0" borderId="0"/>
    <xf numFmtId="0" fontId="8" fillId="0" borderId="0" applyNumberFormat="0" applyFill="0" applyBorder="0" applyAlignment="0" applyProtection="0"/>
    <xf numFmtId="0" fontId="10" fillId="0" borderId="0"/>
    <xf numFmtId="0" fontId="13" fillId="0" borderId="0"/>
    <xf numFmtId="0" fontId="14" fillId="0" borderId="0"/>
  </cellStyleXfs>
  <cellXfs count="25">
    <xf numFmtId="0" fontId="0" fillId="0" borderId="0" xfId="0"/>
    <xf numFmtId="0" fontId="3" fillId="0" borderId="0" xfId="0" applyFont="1" applyAlignment="1">
      <alignment vertical="center"/>
    </xf>
    <xf numFmtId="0" fontId="4" fillId="0" borderId="0" xfId="0" applyFont="1"/>
    <xf numFmtId="164" fontId="4" fillId="0" borderId="0" xfId="0" applyNumberFormat="1" applyFont="1"/>
    <xf numFmtId="0" fontId="5" fillId="0" borderId="0" xfId="0" applyFont="1"/>
    <xf numFmtId="0" fontId="6" fillId="0" borderId="0" xfId="0" applyFont="1"/>
    <xf numFmtId="0" fontId="7" fillId="0" borderId="0" xfId="0" applyFont="1"/>
    <xf numFmtId="0" fontId="9" fillId="0" borderId="0" xfId="1" applyFont="1"/>
    <xf numFmtId="1" fontId="4" fillId="0" borderId="0" xfId="2" applyNumberFormat="1" applyFont="1"/>
    <xf numFmtId="14" fontId="4" fillId="0" borderId="0" xfId="2" applyNumberFormat="1" applyFont="1"/>
    <xf numFmtId="0" fontId="4" fillId="0" borderId="0" xfId="2" applyFont="1"/>
    <xf numFmtId="0" fontId="11" fillId="0" borderId="0" xfId="2" applyFont="1"/>
    <xf numFmtId="0" fontId="5" fillId="0" borderId="0" xfId="2" applyFont="1"/>
    <xf numFmtId="0" fontId="12" fillId="0" borderId="0" xfId="1" applyFont="1"/>
    <xf numFmtId="1" fontId="5" fillId="0" borderId="0" xfId="0" applyNumberFormat="1" applyFont="1"/>
    <xf numFmtId="1" fontId="15" fillId="0" borderId="0" xfId="4" applyNumberFormat="1" applyFont="1" applyAlignment="1">
      <alignment horizontal="left"/>
    </xf>
    <xf numFmtId="0" fontId="5" fillId="0" borderId="0" xfId="0" applyFont="1" applyAlignment="1">
      <alignment horizontal="left" vertical="top" wrapText="1"/>
    </xf>
    <xf numFmtId="0" fontId="11" fillId="0" borderId="0" xfId="0" applyFont="1"/>
    <xf numFmtId="0" fontId="4" fillId="0" borderId="0" xfId="3" applyFont="1"/>
    <xf numFmtId="165" fontId="4" fillId="0" borderId="0" xfId="3" applyNumberFormat="1" applyFont="1"/>
    <xf numFmtId="0" fontId="5" fillId="0" borderId="0" xfId="0" applyFont="1" applyAlignment="1">
      <alignment horizontal="right"/>
    </xf>
    <xf numFmtId="0" fontId="2" fillId="0" borderId="0" xfId="0" applyFont="1"/>
    <xf numFmtId="0" fontId="1" fillId="0" borderId="0" xfId="0" applyFont="1"/>
    <xf numFmtId="0" fontId="1" fillId="0" borderId="0" xfId="0" applyFont="1" applyAlignment="1">
      <alignment horizontal="left" vertical="top" wrapText="1"/>
    </xf>
    <xf numFmtId="0" fontId="5" fillId="0" borderId="0" xfId="0" applyFont="1" applyAlignment="1">
      <alignment horizontal="left" vertical="top" wrapText="1"/>
    </xf>
  </cellXfs>
  <cellStyles count="5">
    <cellStyle name="Hyperlink" xfId="1" builtinId="8"/>
    <cellStyle name="Normal" xfId="0" builtinId="0"/>
    <cellStyle name="Normal 2" xfId="4" xr:uid="{A5F68FAD-8A5D-4925-9E6A-48491A16B1B5}"/>
    <cellStyle name="Normal 7" xfId="2" xr:uid="{3AC9CC5A-A2F0-4B3F-986F-16F57EDBA33C}"/>
    <cellStyle name="Normal 8" xfId="3" xr:uid="{F24AC753-1EA5-4257-B4DF-E586AAA834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4754667452048"/>
          <c:y val="0.12942869641294841"/>
          <c:w val="0.84460465879265101"/>
          <c:h val="0.62354797317002042"/>
        </c:manualLayout>
      </c:layout>
      <c:lineChart>
        <c:grouping val="standard"/>
        <c:varyColors val="0"/>
        <c:ser>
          <c:idx val="0"/>
          <c:order val="0"/>
          <c:tx>
            <c:strRef>
              <c:f>'19.A.'!$R$2</c:f>
              <c:strCache>
                <c:ptCount val="1"/>
                <c:pt idx="0">
                  <c:v>Base metals</c:v>
                </c:pt>
              </c:strCache>
            </c:strRef>
          </c:tx>
          <c:spPr>
            <a:ln w="76200" cap="rnd">
              <a:solidFill>
                <a:srgbClr val="002345"/>
              </a:solidFill>
              <a:round/>
            </a:ln>
            <a:effectLst/>
          </c:spPr>
          <c:marker>
            <c:symbol val="none"/>
          </c:marker>
          <c:cat>
            <c:numRef>
              <c:f>'19.A.'!$Q$3:$Q$89</c:f>
              <c:numCache>
                <c:formatCode>[$-409]mmm\-yy;@</c:formatCode>
                <c:ptCount val="8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numCache>
            </c:numRef>
          </c:cat>
          <c:val>
            <c:numRef>
              <c:f>'19.A.'!$R$3:$R$89</c:f>
              <c:numCache>
                <c:formatCode>0</c:formatCode>
                <c:ptCount val="87"/>
                <c:pt idx="0">
                  <c:v>71.099999999999994</c:v>
                </c:pt>
                <c:pt idx="1">
                  <c:v>74.099999999999994</c:v>
                </c:pt>
                <c:pt idx="2">
                  <c:v>75.400000000000006</c:v>
                </c:pt>
                <c:pt idx="3">
                  <c:v>74.900000000000006</c:v>
                </c:pt>
                <c:pt idx="4">
                  <c:v>70.8</c:v>
                </c:pt>
                <c:pt idx="5">
                  <c:v>69.5</c:v>
                </c:pt>
                <c:pt idx="6">
                  <c:v>70.599999999999994</c:v>
                </c:pt>
                <c:pt idx="7">
                  <c:v>69</c:v>
                </c:pt>
                <c:pt idx="8">
                  <c:v>70.400000000000006</c:v>
                </c:pt>
                <c:pt idx="9">
                  <c:v>70.099999999999994</c:v>
                </c:pt>
                <c:pt idx="10">
                  <c:v>70.3</c:v>
                </c:pt>
                <c:pt idx="11">
                  <c:v>70.599999999999994</c:v>
                </c:pt>
                <c:pt idx="12">
                  <c:v>70.400000000000006</c:v>
                </c:pt>
                <c:pt idx="13">
                  <c:v>66.5</c:v>
                </c:pt>
                <c:pt idx="14">
                  <c:v>61.7</c:v>
                </c:pt>
                <c:pt idx="15">
                  <c:v>58.9</c:v>
                </c:pt>
                <c:pt idx="16">
                  <c:v>60.3</c:v>
                </c:pt>
                <c:pt idx="17">
                  <c:v>65</c:v>
                </c:pt>
                <c:pt idx="18">
                  <c:v>70.2</c:v>
                </c:pt>
                <c:pt idx="19">
                  <c:v>73.099999999999994</c:v>
                </c:pt>
                <c:pt idx="20">
                  <c:v>74.5</c:v>
                </c:pt>
                <c:pt idx="21">
                  <c:v>75.5</c:v>
                </c:pt>
                <c:pt idx="22">
                  <c:v>80</c:v>
                </c:pt>
                <c:pt idx="23">
                  <c:v>85.8</c:v>
                </c:pt>
                <c:pt idx="24">
                  <c:v>87.2</c:v>
                </c:pt>
                <c:pt idx="25">
                  <c:v>91.9</c:v>
                </c:pt>
                <c:pt idx="26">
                  <c:v>95.4</c:v>
                </c:pt>
                <c:pt idx="27">
                  <c:v>99.3</c:v>
                </c:pt>
                <c:pt idx="28">
                  <c:v>106.7</c:v>
                </c:pt>
                <c:pt idx="29">
                  <c:v>104.1</c:v>
                </c:pt>
                <c:pt idx="30">
                  <c:v>104.4</c:v>
                </c:pt>
                <c:pt idx="31">
                  <c:v>105.8</c:v>
                </c:pt>
                <c:pt idx="32">
                  <c:v>108.6</c:v>
                </c:pt>
                <c:pt idx="33">
                  <c:v>113.8</c:v>
                </c:pt>
                <c:pt idx="34">
                  <c:v>109.5</c:v>
                </c:pt>
                <c:pt idx="35">
                  <c:v>109.6</c:v>
                </c:pt>
                <c:pt idx="36">
                  <c:v>116.6</c:v>
                </c:pt>
                <c:pt idx="37">
                  <c:v>121.5</c:v>
                </c:pt>
                <c:pt idx="38">
                  <c:v>131.19999999999999</c:v>
                </c:pt>
                <c:pt idx="39">
                  <c:v>127.8</c:v>
                </c:pt>
                <c:pt idx="40">
                  <c:v>113.8</c:v>
                </c:pt>
                <c:pt idx="41">
                  <c:v>106.5</c:v>
                </c:pt>
                <c:pt idx="42">
                  <c:v>92.9</c:v>
                </c:pt>
                <c:pt idx="43">
                  <c:v>96.8</c:v>
                </c:pt>
                <c:pt idx="44">
                  <c:v>91.5</c:v>
                </c:pt>
                <c:pt idx="45">
                  <c:v>90.7</c:v>
                </c:pt>
                <c:pt idx="46">
                  <c:v>95.8</c:v>
                </c:pt>
                <c:pt idx="47">
                  <c:v>100.4</c:v>
                </c:pt>
                <c:pt idx="48">
                  <c:v>105.9</c:v>
                </c:pt>
                <c:pt idx="49">
                  <c:v>103</c:v>
                </c:pt>
                <c:pt idx="50">
                  <c:v>99</c:v>
                </c:pt>
                <c:pt idx="51">
                  <c:v>99.4</c:v>
                </c:pt>
                <c:pt idx="52">
                  <c:v>93.7</c:v>
                </c:pt>
                <c:pt idx="53">
                  <c:v>93.3</c:v>
                </c:pt>
                <c:pt idx="54">
                  <c:v>93.6</c:v>
                </c:pt>
                <c:pt idx="55">
                  <c:v>92.1</c:v>
                </c:pt>
                <c:pt idx="56">
                  <c:v>92.2</c:v>
                </c:pt>
                <c:pt idx="57">
                  <c:v>89.6</c:v>
                </c:pt>
                <c:pt idx="58">
                  <c:v>90.8</c:v>
                </c:pt>
                <c:pt idx="59">
                  <c:v>91.3</c:v>
                </c:pt>
                <c:pt idx="60">
                  <c:v>91.1</c:v>
                </c:pt>
                <c:pt idx="61">
                  <c:v>90.6</c:v>
                </c:pt>
                <c:pt idx="62">
                  <c:v>94.1</c:v>
                </c:pt>
                <c:pt idx="63">
                  <c:v>103.5</c:v>
                </c:pt>
                <c:pt idx="64">
                  <c:v>109.2</c:v>
                </c:pt>
                <c:pt idx="65">
                  <c:v>104.3</c:v>
                </c:pt>
                <c:pt idx="66">
                  <c:v>100.3</c:v>
                </c:pt>
                <c:pt idx="67">
                  <c:v>97.7</c:v>
                </c:pt>
                <c:pt idx="68">
                  <c:v>100.7</c:v>
                </c:pt>
                <c:pt idx="69">
                  <c:v>105.2</c:v>
                </c:pt>
                <c:pt idx="70">
                  <c:v>101.6</c:v>
                </c:pt>
                <c:pt idx="71">
                  <c:v>100</c:v>
                </c:pt>
                <c:pt idx="72">
                  <c:v>100.4</c:v>
                </c:pt>
                <c:pt idx="73">
                  <c:v>103.6</c:v>
                </c:pt>
                <c:pt idx="74">
                  <c:v>106.6</c:v>
                </c:pt>
                <c:pt idx="75">
                  <c:v>98.6</c:v>
                </c:pt>
                <c:pt idx="76">
                  <c:v>101.7</c:v>
                </c:pt>
                <c:pt idx="77">
                  <c:v>104.3</c:v>
                </c:pt>
                <c:pt idx="78">
                  <c:v>105.4</c:v>
                </c:pt>
                <c:pt idx="79">
                  <c:v>104.7</c:v>
                </c:pt>
                <c:pt idx="80">
                  <c:v>107.6</c:v>
                </c:pt>
                <c:pt idx="81">
                  <c:v>114.2</c:v>
                </c:pt>
                <c:pt idx="82">
                  <c:v>115</c:v>
                </c:pt>
                <c:pt idx="83">
                  <c:v>121.6</c:v>
                </c:pt>
                <c:pt idx="84">
                  <c:v>134.1</c:v>
                </c:pt>
                <c:pt idx="85">
                  <c:v>132.5</c:v>
                </c:pt>
                <c:pt idx="86">
                  <c:v>133.80000000000001</c:v>
                </c:pt>
              </c:numCache>
            </c:numRef>
          </c:val>
          <c:smooth val="0"/>
          <c:extLst>
            <c:ext xmlns:c16="http://schemas.microsoft.com/office/drawing/2014/chart" uri="{C3380CC4-5D6E-409C-BE32-E72D297353CC}">
              <c16:uniqueId val="{00000000-B8A4-4A3F-8AFF-A4EE142E51DE}"/>
            </c:ext>
          </c:extLst>
        </c:ser>
        <c:ser>
          <c:idx val="1"/>
          <c:order val="1"/>
          <c:tx>
            <c:strRef>
              <c:f>'19.A.'!$S$2</c:f>
              <c:strCache>
                <c:ptCount val="1"/>
                <c:pt idx="0">
                  <c:v>Iron ore </c:v>
                </c:pt>
              </c:strCache>
            </c:strRef>
          </c:tx>
          <c:spPr>
            <a:ln w="76200" cap="rnd">
              <a:solidFill>
                <a:srgbClr val="EB1C2D"/>
              </a:solidFill>
              <a:round/>
            </a:ln>
            <a:effectLst/>
          </c:spPr>
          <c:marker>
            <c:symbol val="none"/>
          </c:marker>
          <c:cat>
            <c:numRef>
              <c:f>'19.A.'!$Q$3:$Q$89</c:f>
              <c:numCache>
                <c:formatCode>[$-409]mmm\-yy;@</c:formatCode>
                <c:ptCount val="8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numCache>
            </c:numRef>
          </c:cat>
          <c:val>
            <c:numRef>
              <c:f>'19.A.'!$S$3:$S$89</c:f>
              <c:numCache>
                <c:formatCode>0</c:formatCode>
                <c:ptCount val="87"/>
                <c:pt idx="0">
                  <c:v>74.5</c:v>
                </c:pt>
                <c:pt idx="1">
                  <c:v>86.3</c:v>
                </c:pt>
                <c:pt idx="2">
                  <c:v>84.6</c:v>
                </c:pt>
                <c:pt idx="3">
                  <c:v>91.7</c:v>
                </c:pt>
                <c:pt idx="4">
                  <c:v>98</c:v>
                </c:pt>
                <c:pt idx="5">
                  <c:v>106.6</c:v>
                </c:pt>
                <c:pt idx="6">
                  <c:v>117.6</c:v>
                </c:pt>
                <c:pt idx="7">
                  <c:v>91.1</c:v>
                </c:pt>
                <c:pt idx="8">
                  <c:v>91.1</c:v>
                </c:pt>
                <c:pt idx="9">
                  <c:v>86.6</c:v>
                </c:pt>
                <c:pt idx="10">
                  <c:v>83.1</c:v>
                </c:pt>
                <c:pt idx="11">
                  <c:v>90.6</c:v>
                </c:pt>
                <c:pt idx="12">
                  <c:v>93.7</c:v>
                </c:pt>
                <c:pt idx="13">
                  <c:v>85.8</c:v>
                </c:pt>
                <c:pt idx="14">
                  <c:v>87.1</c:v>
                </c:pt>
                <c:pt idx="15">
                  <c:v>82.9</c:v>
                </c:pt>
                <c:pt idx="16">
                  <c:v>91.6</c:v>
                </c:pt>
                <c:pt idx="17">
                  <c:v>101.1</c:v>
                </c:pt>
                <c:pt idx="18">
                  <c:v>106.2</c:v>
                </c:pt>
                <c:pt idx="19">
                  <c:v>118.5</c:v>
                </c:pt>
                <c:pt idx="20">
                  <c:v>121.1</c:v>
                </c:pt>
                <c:pt idx="21">
                  <c:v>117.2</c:v>
                </c:pt>
                <c:pt idx="22">
                  <c:v>121.7</c:v>
                </c:pt>
                <c:pt idx="23">
                  <c:v>152.1</c:v>
                </c:pt>
                <c:pt idx="24">
                  <c:v>166</c:v>
                </c:pt>
                <c:pt idx="25">
                  <c:v>160.30000000000001</c:v>
                </c:pt>
                <c:pt idx="26">
                  <c:v>164.5</c:v>
                </c:pt>
                <c:pt idx="27">
                  <c:v>175.9</c:v>
                </c:pt>
                <c:pt idx="28">
                  <c:v>203.2</c:v>
                </c:pt>
                <c:pt idx="29">
                  <c:v>209.8</c:v>
                </c:pt>
                <c:pt idx="30">
                  <c:v>209.5</c:v>
                </c:pt>
                <c:pt idx="31">
                  <c:v>158.69999999999999</c:v>
                </c:pt>
                <c:pt idx="32">
                  <c:v>121.8</c:v>
                </c:pt>
                <c:pt idx="33">
                  <c:v>120.3</c:v>
                </c:pt>
                <c:pt idx="34">
                  <c:v>94.2</c:v>
                </c:pt>
                <c:pt idx="35">
                  <c:v>114.4</c:v>
                </c:pt>
                <c:pt idx="36">
                  <c:v>129.69999999999999</c:v>
                </c:pt>
                <c:pt idx="37">
                  <c:v>139.80000000000001</c:v>
                </c:pt>
                <c:pt idx="38">
                  <c:v>148.80000000000001</c:v>
                </c:pt>
                <c:pt idx="39">
                  <c:v>148</c:v>
                </c:pt>
                <c:pt idx="40">
                  <c:v>128.4</c:v>
                </c:pt>
                <c:pt idx="41">
                  <c:v>127.9</c:v>
                </c:pt>
                <c:pt idx="42">
                  <c:v>106.2</c:v>
                </c:pt>
                <c:pt idx="43">
                  <c:v>106.5</c:v>
                </c:pt>
                <c:pt idx="44">
                  <c:v>97.7</c:v>
                </c:pt>
                <c:pt idx="45">
                  <c:v>90.6</c:v>
                </c:pt>
                <c:pt idx="46">
                  <c:v>91.3</c:v>
                </c:pt>
                <c:pt idx="47">
                  <c:v>109.4</c:v>
                </c:pt>
                <c:pt idx="48">
                  <c:v>119.6</c:v>
                </c:pt>
                <c:pt idx="49">
                  <c:v>124.8</c:v>
                </c:pt>
                <c:pt idx="50">
                  <c:v>125.6</c:v>
                </c:pt>
                <c:pt idx="51">
                  <c:v>114.9</c:v>
                </c:pt>
                <c:pt idx="52">
                  <c:v>102.9</c:v>
                </c:pt>
                <c:pt idx="53">
                  <c:v>111</c:v>
                </c:pt>
                <c:pt idx="54">
                  <c:v>112</c:v>
                </c:pt>
                <c:pt idx="55">
                  <c:v>107.8</c:v>
                </c:pt>
                <c:pt idx="56">
                  <c:v>118.4</c:v>
                </c:pt>
                <c:pt idx="57">
                  <c:v>116.4</c:v>
                </c:pt>
                <c:pt idx="58">
                  <c:v>128.19999999999999</c:v>
                </c:pt>
                <c:pt idx="59">
                  <c:v>134.1</c:v>
                </c:pt>
                <c:pt idx="60">
                  <c:v>132.9</c:v>
                </c:pt>
                <c:pt idx="61">
                  <c:v>121.7</c:v>
                </c:pt>
                <c:pt idx="62">
                  <c:v>107.4</c:v>
                </c:pt>
                <c:pt idx="63">
                  <c:v>110.3</c:v>
                </c:pt>
                <c:pt idx="64">
                  <c:v>116.3</c:v>
                </c:pt>
                <c:pt idx="65">
                  <c:v>105.1</c:v>
                </c:pt>
                <c:pt idx="66">
                  <c:v>104.5</c:v>
                </c:pt>
                <c:pt idx="67">
                  <c:v>97.7</c:v>
                </c:pt>
                <c:pt idx="68">
                  <c:v>90.8</c:v>
                </c:pt>
                <c:pt idx="69">
                  <c:v>99.2</c:v>
                </c:pt>
                <c:pt idx="70">
                  <c:v>98.3</c:v>
                </c:pt>
                <c:pt idx="71">
                  <c:v>100</c:v>
                </c:pt>
                <c:pt idx="72">
                  <c:v>97.4</c:v>
                </c:pt>
                <c:pt idx="73">
                  <c:v>102.8</c:v>
                </c:pt>
                <c:pt idx="74">
                  <c:v>97.9</c:v>
                </c:pt>
                <c:pt idx="75">
                  <c:v>95.1</c:v>
                </c:pt>
                <c:pt idx="76">
                  <c:v>94.9</c:v>
                </c:pt>
                <c:pt idx="77">
                  <c:v>90.3</c:v>
                </c:pt>
                <c:pt idx="78">
                  <c:v>95.2</c:v>
                </c:pt>
                <c:pt idx="79">
                  <c:v>97.6</c:v>
                </c:pt>
                <c:pt idx="80">
                  <c:v>101</c:v>
                </c:pt>
                <c:pt idx="81">
                  <c:v>101.3</c:v>
                </c:pt>
                <c:pt idx="82">
                  <c:v>100.3</c:v>
                </c:pt>
                <c:pt idx="83">
                  <c:v>102.3</c:v>
                </c:pt>
                <c:pt idx="84">
                  <c:v>103.2</c:v>
                </c:pt>
                <c:pt idx="85">
                  <c:v>96.7</c:v>
                </c:pt>
                <c:pt idx="86">
                  <c:v>102.2</c:v>
                </c:pt>
              </c:numCache>
            </c:numRef>
          </c:val>
          <c:smooth val="0"/>
          <c:extLst>
            <c:ext xmlns:c16="http://schemas.microsoft.com/office/drawing/2014/chart" uri="{C3380CC4-5D6E-409C-BE32-E72D297353CC}">
              <c16:uniqueId val="{00000001-B8A4-4A3F-8AFF-A4EE142E51DE}"/>
            </c:ext>
          </c:extLst>
        </c:ser>
        <c:ser>
          <c:idx val="2"/>
          <c:order val="2"/>
          <c:tx>
            <c:strRef>
              <c:f>'19.A.'!$T$2</c:f>
              <c:strCache>
                <c:ptCount val="1"/>
                <c:pt idx="0">
                  <c:v>Index</c:v>
                </c:pt>
              </c:strCache>
            </c:strRef>
          </c:tx>
          <c:spPr>
            <a:ln w="9525" cap="rnd">
              <a:solidFill>
                <a:schemeClr val="tx1"/>
              </a:solidFill>
              <a:round/>
            </a:ln>
            <a:effectLst/>
          </c:spPr>
          <c:marker>
            <c:symbol val="none"/>
          </c:marker>
          <c:cat>
            <c:numRef>
              <c:f>'19.A.'!$Q$3:$Q$89</c:f>
              <c:numCache>
                <c:formatCode>[$-409]mmm\-yy;@</c:formatCode>
                <c:ptCount val="8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numCache>
            </c:numRef>
          </c:cat>
          <c:val>
            <c:numRef>
              <c:f>'19.A.'!$T$3:$T$89</c:f>
              <c:numCache>
                <c:formatCode>General</c:formatCode>
                <c:ptCount val="87"/>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numCache>
            </c:numRef>
          </c:val>
          <c:smooth val="0"/>
          <c:extLst>
            <c:ext xmlns:c16="http://schemas.microsoft.com/office/drawing/2014/chart" uri="{C3380CC4-5D6E-409C-BE32-E72D297353CC}">
              <c16:uniqueId val="{00000002-B8A4-4A3F-8AFF-A4EE142E51DE}"/>
            </c:ext>
          </c:extLst>
        </c:ser>
        <c:dLbls>
          <c:showLegendKey val="0"/>
          <c:showVal val="0"/>
          <c:showCatName val="0"/>
          <c:showSerName val="0"/>
          <c:showPercent val="0"/>
          <c:showBubbleSize val="0"/>
        </c:dLbls>
        <c:smooth val="0"/>
        <c:axId val="1880271024"/>
        <c:axId val="1152067856"/>
      </c:lineChart>
      <c:dateAx>
        <c:axId val="1880271024"/>
        <c:scaling>
          <c:orientation val="minMax"/>
          <c:max val="46113"/>
        </c:scaling>
        <c:delete val="0"/>
        <c:axPos val="b"/>
        <c:numFmt formatCode="[$-409]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152067856"/>
        <c:crosses val="autoZero"/>
        <c:auto val="1"/>
        <c:lblOffset val="100"/>
        <c:baseTimeUnit val="months"/>
        <c:majorUnit val="291"/>
        <c:majorTimeUnit val="days"/>
      </c:dateAx>
      <c:valAx>
        <c:axId val="1152067856"/>
        <c:scaling>
          <c:orientation val="minMax"/>
          <c:min val="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80271024"/>
        <c:crosses val="autoZero"/>
        <c:crossBetween val="between"/>
        <c:majorUnit val="50"/>
      </c:valAx>
      <c:spPr>
        <a:noFill/>
        <a:ln>
          <a:noFill/>
        </a:ln>
        <a:effectLst/>
      </c:spPr>
    </c:plotArea>
    <c:legend>
      <c:legendPos val="t"/>
      <c:legendEntry>
        <c:idx val="2"/>
        <c:delete val="1"/>
      </c:legendEntry>
      <c:layout>
        <c:manualLayout>
          <c:xMode val="edge"/>
          <c:yMode val="edge"/>
          <c:x val="0.13494499640974858"/>
          <c:y val="0.11687327749164626"/>
          <c:w val="0.79010629921259834"/>
          <c:h val="0.1054170750636735"/>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'19.B.'!$R$2</c:f>
              <c:strCache>
                <c:ptCount val="1"/>
                <c:pt idx="0">
                  <c:v>Aluminum</c:v>
                </c:pt>
              </c:strCache>
            </c:strRef>
          </c:tx>
          <c:spPr>
            <a:ln w="76200" cap="rnd">
              <a:solidFill>
                <a:srgbClr val="002345"/>
              </a:solidFill>
              <a:round/>
            </a:ln>
            <a:effectLst/>
          </c:spPr>
          <c:marker>
            <c:symbol val="none"/>
          </c:marker>
          <c:cat>
            <c:numRef>
              <c:f>'19.B.'!$Q$3:$Q$337</c:f>
              <c:numCache>
                <c:formatCode>m/d/yyyy</c:formatCode>
                <c:ptCount val="335"/>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46020</c:v>
                </c:pt>
                <c:pt idx="256">
                  <c:v>46021</c:v>
                </c:pt>
                <c:pt idx="257">
                  <c:v>46022</c:v>
                </c:pt>
                <c:pt idx="258">
                  <c:v>46024</c:v>
                </c:pt>
                <c:pt idx="259">
                  <c:v>46027</c:v>
                </c:pt>
                <c:pt idx="260">
                  <c:v>46028</c:v>
                </c:pt>
                <c:pt idx="261">
                  <c:v>46029</c:v>
                </c:pt>
                <c:pt idx="262">
                  <c:v>46030</c:v>
                </c:pt>
                <c:pt idx="263">
                  <c:v>46031</c:v>
                </c:pt>
                <c:pt idx="264">
                  <c:v>46034</c:v>
                </c:pt>
                <c:pt idx="265">
                  <c:v>46035</c:v>
                </c:pt>
                <c:pt idx="266">
                  <c:v>46036</c:v>
                </c:pt>
                <c:pt idx="267">
                  <c:v>46037</c:v>
                </c:pt>
                <c:pt idx="268">
                  <c:v>46038</c:v>
                </c:pt>
                <c:pt idx="269">
                  <c:v>46041</c:v>
                </c:pt>
                <c:pt idx="270">
                  <c:v>46042</c:v>
                </c:pt>
                <c:pt idx="271">
                  <c:v>46043</c:v>
                </c:pt>
                <c:pt idx="272">
                  <c:v>46044</c:v>
                </c:pt>
                <c:pt idx="273">
                  <c:v>46045</c:v>
                </c:pt>
                <c:pt idx="274">
                  <c:v>46048</c:v>
                </c:pt>
                <c:pt idx="275">
                  <c:v>46049</c:v>
                </c:pt>
                <c:pt idx="276">
                  <c:v>46050</c:v>
                </c:pt>
                <c:pt idx="277">
                  <c:v>46051</c:v>
                </c:pt>
                <c:pt idx="278">
                  <c:v>46052</c:v>
                </c:pt>
                <c:pt idx="279">
                  <c:v>46055</c:v>
                </c:pt>
                <c:pt idx="280">
                  <c:v>46056</c:v>
                </c:pt>
                <c:pt idx="281">
                  <c:v>46057</c:v>
                </c:pt>
                <c:pt idx="282">
                  <c:v>46058</c:v>
                </c:pt>
                <c:pt idx="283">
                  <c:v>46059</c:v>
                </c:pt>
                <c:pt idx="284">
                  <c:v>46062</c:v>
                </c:pt>
                <c:pt idx="285">
                  <c:v>46063</c:v>
                </c:pt>
                <c:pt idx="286">
                  <c:v>46064</c:v>
                </c:pt>
                <c:pt idx="287">
                  <c:v>46065</c:v>
                </c:pt>
                <c:pt idx="288">
                  <c:v>46066</c:v>
                </c:pt>
                <c:pt idx="289">
                  <c:v>46069</c:v>
                </c:pt>
                <c:pt idx="290">
                  <c:v>46070</c:v>
                </c:pt>
                <c:pt idx="291">
                  <c:v>46071</c:v>
                </c:pt>
                <c:pt idx="292">
                  <c:v>46072</c:v>
                </c:pt>
                <c:pt idx="293">
                  <c:v>46073</c:v>
                </c:pt>
                <c:pt idx="294">
                  <c:v>46076</c:v>
                </c:pt>
                <c:pt idx="295">
                  <c:v>46077</c:v>
                </c:pt>
                <c:pt idx="296">
                  <c:v>46078</c:v>
                </c:pt>
                <c:pt idx="297">
                  <c:v>46079</c:v>
                </c:pt>
                <c:pt idx="298">
                  <c:v>46080</c:v>
                </c:pt>
                <c:pt idx="299">
                  <c:v>46083</c:v>
                </c:pt>
                <c:pt idx="300">
                  <c:v>46084</c:v>
                </c:pt>
                <c:pt idx="301">
                  <c:v>46085</c:v>
                </c:pt>
                <c:pt idx="302">
                  <c:v>46086</c:v>
                </c:pt>
                <c:pt idx="303">
                  <c:v>46087</c:v>
                </c:pt>
                <c:pt idx="304">
                  <c:v>46090</c:v>
                </c:pt>
                <c:pt idx="305">
                  <c:v>46091</c:v>
                </c:pt>
                <c:pt idx="306">
                  <c:v>46092</c:v>
                </c:pt>
                <c:pt idx="307">
                  <c:v>46093</c:v>
                </c:pt>
                <c:pt idx="308">
                  <c:v>46094</c:v>
                </c:pt>
                <c:pt idx="309">
                  <c:v>46097</c:v>
                </c:pt>
                <c:pt idx="310">
                  <c:v>46098</c:v>
                </c:pt>
                <c:pt idx="311">
                  <c:v>46099</c:v>
                </c:pt>
                <c:pt idx="312">
                  <c:v>46100</c:v>
                </c:pt>
                <c:pt idx="313">
                  <c:v>46101</c:v>
                </c:pt>
                <c:pt idx="314">
                  <c:v>46104</c:v>
                </c:pt>
                <c:pt idx="315">
                  <c:v>46105</c:v>
                </c:pt>
                <c:pt idx="316">
                  <c:v>46106</c:v>
                </c:pt>
                <c:pt idx="317">
                  <c:v>46107</c:v>
                </c:pt>
                <c:pt idx="318">
                  <c:v>46108</c:v>
                </c:pt>
                <c:pt idx="319">
                  <c:v>46111</c:v>
                </c:pt>
                <c:pt idx="320">
                  <c:v>46112</c:v>
                </c:pt>
                <c:pt idx="321">
                  <c:v>46113</c:v>
                </c:pt>
                <c:pt idx="322">
                  <c:v>46114</c:v>
                </c:pt>
                <c:pt idx="323">
                  <c:v>46115</c:v>
                </c:pt>
                <c:pt idx="324">
                  <c:v>46118</c:v>
                </c:pt>
                <c:pt idx="325">
                  <c:v>46119</c:v>
                </c:pt>
                <c:pt idx="326">
                  <c:v>46120</c:v>
                </c:pt>
                <c:pt idx="327">
                  <c:v>46121</c:v>
                </c:pt>
                <c:pt idx="328">
                  <c:v>46122</c:v>
                </c:pt>
                <c:pt idx="329">
                  <c:v>46125</c:v>
                </c:pt>
                <c:pt idx="330">
                  <c:v>46126</c:v>
                </c:pt>
                <c:pt idx="331">
                  <c:v>46127</c:v>
                </c:pt>
                <c:pt idx="332">
                  <c:v>46128</c:v>
                </c:pt>
                <c:pt idx="333">
                  <c:v>46129</c:v>
                </c:pt>
                <c:pt idx="334">
                  <c:v>46132</c:v>
                </c:pt>
              </c:numCache>
            </c:numRef>
          </c:cat>
          <c:val>
            <c:numRef>
              <c:f>'19.B.'!$R$3:$R$337</c:f>
              <c:numCache>
                <c:formatCode>0</c:formatCode>
                <c:ptCount val="335"/>
                <c:pt idx="0">
                  <c:v>98.1</c:v>
                </c:pt>
                <c:pt idx="1">
                  <c:v>98.6</c:v>
                </c:pt>
                <c:pt idx="2">
                  <c:v>97</c:v>
                </c:pt>
                <c:pt idx="3">
                  <c:v>96.8</c:v>
                </c:pt>
                <c:pt idx="4">
                  <c:v>97.9</c:v>
                </c:pt>
                <c:pt idx="5">
                  <c:v>97.1</c:v>
                </c:pt>
                <c:pt idx="6">
                  <c:v>99.2</c:v>
                </c:pt>
                <c:pt idx="7">
                  <c:v>100.7</c:v>
                </c:pt>
                <c:pt idx="8">
                  <c:v>100.8</c:v>
                </c:pt>
                <c:pt idx="9">
                  <c:v>100</c:v>
                </c:pt>
                <c:pt idx="10">
                  <c:v>101.9</c:v>
                </c:pt>
                <c:pt idx="11">
                  <c:v>103.3</c:v>
                </c:pt>
                <c:pt idx="12">
                  <c:v>105.2</c:v>
                </c:pt>
                <c:pt idx="13">
                  <c:v>105.6</c:v>
                </c:pt>
                <c:pt idx="14">
                  <c:v>103.4</c:v>
                </c:pt>
                <c:pt idx="15">
                  <c:v>102.9</c:v>
                </c:pt>
                <c:pt idx="16">
                  <c:v>102.9</c:v>
                </c:pt>
                <c:pt idx="17">
                  <c:v>103.7</c:v>
                </c:pt>
                <c:pt idx="18">
                  <c:v>102</c:v>
                </c:pt>
                <c:pt idx="19">
                  <c:v>100.9</c:v>
                </c:pt>
                <c:pt idx="20">
                  <c:v>102.9</c:v>
                </c:pt>
                <c:pt idx="21">
                  <c:v>103.3</c:v>
                </c:pt>
                <c:pt idx="22">
                  <c:v>102</c:v>
                </c:pt>
                <c:pt idx="23">
                  <c:v>103.5</c:v>
                </c:pt>
                <c:pt idx="24">
                  <c:v>104.2</c:v>
                </c:pt>
                <c:pt idx="25">
                  <c:v>103.1</c:v>
                </c:pt>
                <c:pt idx="26">
                  <c:v>103.3</c:v>
                </c:pt>
                <c:pt idx="27">
                  <c:v>103.6</c:v>
                </c:pt>
                <c:pt idx="28">
                  <c:v>104.9</c:v>
                </c:pt>
                <c:pt idx="29">
                  <c:v>104.2</c:v>
                </c:pt>
                <c:pt idx="30">
                  <c:v>103.5</c:v>
                </c:pt>
                <c:pt idx="31">
                  <c:v>103</c:v>
                </c:pt>
                <c:pt idx="32">
                  <c:v>104.8</c:v>
                </c:pt>
                <c:pt idx="33">
                  <c:v>105.6</c:v>
                </c:pt>
                <c:pt idx="34">
                  <c:v>105.7</c:v>
                </c:pt>
                <c:pt idx="35">
                  <c:v>106.3</c:v>
                </c:pt>
                <c:pt idx="36">
                  <c:v>107.7</c:v>
                </c:pt>
                <c:pt idx="37">
                  <c:v>106</c:v>
                </c:pt>
                <c:pt idx="38">
                  <c:v>105</c:v>
                </c:pt>
                <c:pt idx="39">
                  <c:v>104.5</c:v>
                </c:pt>
                <c:pt idx="40">
                  <c:v>104.2</c:v>
                </c:pt>
                <c:pt idx="41">
                  <c:v>104.3</c:v>
                </c:pt>
                <c:pt idx="42">
                  <c:v>103.2</c:v>
                </c:pt>
                <c:pt idx="43">
                  <c:v>103.2</c:v>
                </c:pt>
                <c:pt idx="44">
                  <c:v>103.4</c:v>
                </c:pt>
                <c:pt idx="45">
                  <c:v>104.9</c:v>
                </c:pt>
                <c:pt idx="46">
                  <c:v>106.6</c:v>
                </c:pt>
                <c:pt idx="47">
                  <c:v>107.1</c:v>
                </c:pt>
                <c:pt idx="48">
                  <c:v>106.6</c:v>
                </c:pt>
                <c:pt idx="49">
                  <c:v>107</c:v>
                </c:pt>
                <c:pt idx="50">
                  <c:v>106.9</c:v>
                </c:pt>
                <c:pt idx="51">
                  <c:v>107.1</c:v>
                </c:pt>
                <c:pt idx="52">
                  <c:v>106.3</c:v>
                </c:pt>
                <c:pt idx="53">
                  <c:v>106.4</c:v>
                </c:pt>
                <c:pt idx="54">
                  <c:v>105</c:v>
                </c:pt>
                <c:pt idx="55">
                  <c:v>105.7</c:v>
                </c:pt>
                <c:pt idx="56">
                  <c:v>105.3</c:v>
                </c:pt>
                <c:pt idx="57">
                  <c:v>103.7</c:v>
                </c:pt>
                <c:pt idx="58">
                  <c:v>103.2</c:v>
                </c:pt>
                <c:pt idx="59">
                  <c:v>101.9</c:v>
                </c:pt>
                <c:pt idx="60">
                  <c:v>101.9</c:v>
                </c:pt>
                <c:pt idx="61">
                  <c:v>100.3</c:v>
                </c:pt>
                <c:pt idx="62">
                  <c:v>99.8</c:v>
                </c:pt>
                <c:pt idx="63">
                  <c:v>99.1</c:v>
                </c:pt>
                <c:pt idx="64">
                  <c:v>97.9</c:v>
                </c:pt>
                <c:pt idx="65">
                  <c:v>97</c:v>
                </c:pt>
                <c:pt idx="66">
                  <c:v>95.3</c:v>
                </c:pt>
                <c:pt idx="67">
                  <c:v>92.3</c:v>
                </c:pt>
                <c:pt idx="68">
                  <c:v>91.7</c:v>
                </c:pt>
                <c:pt idx="69">
                  <c:v>90.8</c:v>
                </c:pt>
                <c:pt idx="70">
                  <c:v>89.6</c:v>
                </c:pt>
                <c:pt idx="71">
                  <c:v>91.8</c:v>
                </c:pt>
                <c:pt idx="72">
                  <c:v>92.8</c:v>
                </c:pt>
                <c:pt idx="73">
                  <c:v>91.8</c:v>
                </c:pt>
                <c:pt idx="74">
                  <c:v>91.9</c:v>
                </c:pt>
                <c:pt idx="75">
                  <c:v>92.3</c:v>
                </c:pt>
                <c:pt idx="76">
                  <c:v>91.7</c:v>
                </c:pt>
                <c:pt idx="77">
                  <c:v>93.1</c:v>
                </c:pt>
                <c:pt idx="78">
                  <c:v>95.2</c:v>
                </c:pt>
                <c:pt idx="79">
                  <c:v>92.4</c:v>
                </c:pt>
                <c:pt idx="80">
                  <c:v>94.4</c:v>
                </c:pt>
                <c:pt idx="81">
                  <c:v>95.2</c:v>
                </c:pt>
                <c:pt idx="82">
                  <c:v>94.3</c:v>
                </c:pt>
                <c:pt idx="83">
                  <c:v>94.5</c:v>
                </c:pt>
                <c:pt idx="84">
                  <c:v>95.8</c:v>
                </c:pt>
                <c:pt idx="85">
                  <c:v>93.3</c:v>
                </c:pt>
                <c:pt idx="86">
                  <c:v>94.3</c:v>
                </c:pt>
                <c:pt idx="87">
                  <c:v>94.8</c:v>
                </c:pt>
                <c:pt idx="88">
                  <c:v>94.8</c:v>
                </c:pt>
                <c:pt idx="89">
                  <c:v>94.5</c:v>
                </c:pt>
                <c:pt idx="90">
                  <c:v>92.7</c:v>
                </c:pt>
                <c:pt idx="91">
                  <c:v>94.7</c:v>
                </c:pt>
                <c:pt idx="92">
                  <c:v>94.8</c:v>
                </c:pt>
                <c:pt idx="93">
                  <c:v>97.4</c:v>
                </c:pt>
                <c:pt idx="94">
                  <c:v>98.1</c:v>
                </c:pt>
                <c:pt idx="95">
                  <c:v>99.6</c:v>
                </c:pt>
                <c:pt idx="96">
                  <c:v>97.9</c:v>
                </c:pt>
                <c:pt idx="97">
                  <c:v>97.9</c:v>
                </c:pt>
                <c:pt idx="98">
                  <c:v>96.5</c:v>
                </c:pt>
                <c:pt idx="99">
                  <c:v>97.2</c:v>
                </c:pt>
                <c:pt idx="100">
                  <c:v>97</c:v>
                </c:pt>
                <c:pt idx="101">
                  <c:v>96.4</c:v>
                </c:pt>
                <c:pt idx="102">
                  <c:v>96.7</c:v>
                </c:pt>
                <c:pt idx="103">
                  <c:v>96.5</c:v>
                </c:pt>
                <c:pt idx="104">
                  <c:v>97.8</c:v>
                </c:pt>
                <c:pt idx="105">
                  <c:v>97.2</c:v>
                </c:pt>
                <c:pt idx="106">
                  <c:v>96.2</c:v>
                </c:pt>
                <c:pt idx="107">
                  <c:v>96</c:v>
                </c:pt>
                <c:pt idx="108">
                  <c:v>96.9</c:v>
                </c:pt>
                <c:pt idx="109">
                  <c:v>96.8</c:v>
                </c:pt>
                <c:pt idx="110">
                  <c:v>97.4</c:v>
                </c:pt>
                <c:pt idx="111">
                  <c:v>97.2</c:v>
                </c:pt>
                <c:pt idx="112">
                  <c:v>96.3</c:v>
                </c:pt>
                <c:pt idx="113">
                  <c:v>97.5</c:v>
                </c:pt>
                <c:pt idx="114">
                  <c:v>98.4</c:v>
                </c:pt>
                <c:pt idx="115">
                  <c:v>99.1</c:v>
                </c:pt>
                <c:pt idx="116">
                  <c:v>99.2</c:v>
                </c:pt>
                <c:pt idx="117">
                  <c:v>98.5</c:v>
                </c:pt>
                <c:pt idx="118">
                  <c:v>99</c:v>
                </c:pt>
                <c:pt idx="119">
                  <c:v>100.5</c:v>
                </c:pt>
                <c:pt idx="120">
                  <c:v>100.5</c:v>
                </c:pt>
                <c:pt idx="121">
                  <c:v>99.2</c:v>
                </c:pt>
                <c:pt idx="122">
                  <c:v>100.8</c:v>
                </c:pt>
                <c:pt idx="123">
                  <c:v>102.3</c:v>
                </c:pt>
                <c:pt idx="124">
                  <c:v>101.5</c:v>
                </c:pt>
                <c:pt idx="125">
                  <c:v>100.6</c:v>
                </c:pt>
                <c:pt idx="126">
                  <c:v>101.7</c:v>
                </c:pt>
                <c:pt idx="127">
                  <c:v>102.1</c:v>
                </c:pt>
                <c:pt idx="128">
                  <c:v>102.2</c:v>
                </c:pt>
                <c:pt idx="129">
                  <c:v>102.2</c:v>
                </c:pt>
                <c:pt idx="130">
                  <c:v>103</c:v>
                </c:pt>
                <c:pt idx="131">
                  <c:v>102.3</c:v>
                </c:pt>
                <c:pt idx="132">
                  <c:v>101.8</c:v>
                </c:pt>
                <c:pt idx="133">
                  <c:v>101.2</c:v>
                </c:pt>
                <c:pt idx="134">
                  <c:v>101.8</c:v>
                </c:pt>
                <c:pt idx="135">
                  <c:v>102.1</c:v>
                </c:pt>
                <c:pt idx="136">
                  <c:v>102.6</c:v>
                </c:pt>
                <c:pt idx="137">
                  <c:v>102.4</c:v>
                </c:pt>
                <c:pt idx="138">
                  <c:v>101.9</c:v>
                </c:pt>
                <c:pt idx="139">
                  <c:v>101.5</c:v>
                </c:pt>
                <c:pt idx="140">
                  <c:v>101.4</c:v>
                </c:pt>
                <c:pt idx="141">
                  <c:v>101.3</c:v>
                </c:pt>
                <c:pt idx="142">
                  <c:v>103.5</c:v>
                </c:pt>
                <c:pt idx="143">
                  <c:v>104.2</c:v>
                </c:pt>
                <c:pt idx="144">
                  <c:v>104.7</c:v>
                </c:pt>
                <c:pt idx="145">
                  <c:v>104.3</c:v>
                </c:pt>
                <c:pt idx="146">
                  <c:v>104.3</c:v>
                </c:pt>
                <c:pt idx="147">
                  <c:v>103.8</c:v>
                </c:pt>
                <c:pt idx="148">
                  <c:v>103.5</c:v>
                </c:pt>
                <c:pt idx="149">
                  <c:v>102.4</c:v>
                </c:pt>
                <c:pt idx="150">
                  <c:v>102.2</c:v>
                </c:pt>
                <c:pt idx="151">
                  <c:v>100.8</c:v>
                </c:pt>
                <c:pt idx="152">
                  <c:v>100.9</c:v>
                </c:pt>
                <c:pt idx="153">
                  <c:v>100.5</c:v>
                </c:pt>
                <c:pt idx="154">
                  <c:v>100.9</c:v>
                </c:pt>
                <c:pt idx="155">
                  <c:v>102.7</c:v>
                </c:pt>
                <c:pt idx="156">
                  <c:v>102.7</c:v>
                </c:pt>
                <c:pt idx="157">
                  <c:v>102.6</c:v>
                </c:pt>
                <c:pt idx="158">
                  <c:v>101.5</c:v>
                </c:pt>
                <c:pt idx="159">
                  <c:v>102.9</c:v>
                </c:pt>
                <c:pt idx="160">
                  <c:v>102.8</c:v>
                </c:pt>
                <c:pt idx="161">
                  <c:v>102.9</c:v>
                </c:pt>
                <c:pt idx="162">
                  <c:v>102.7</c:v>
                </c:pt>
                <c:pt idx="163">
                  <c:v>101.9</c:v>
                </c:pt>
                <c:pt idx="164">
                  <c:v>100.8</c:v>
                </c:pt>
                <c:pt idx="165">
                  <c:v>101.3</c:v>
                </c:pt>
                <c:pt idx="166">
                  <c:v>101.7</c:v>
                </c:pt>
                <c:pt idx="167">
                  <c:v>103.4</c:v>
                </c:pt>
                <c:pt idx="168">
                  <c:v>103.1</c:v>
                </c:pt>
                <c:pt idx="169">
                  <c:v>104</c:v>
                </c:pt>
                <c:pt idx="170">
                  <c:v>102.6</c:v>
                </c:pt>
                <c:pt idx="171">
                  <c:v>102.8</c:v>
                </c:pt>
                <c:pt idx="172">
                  <c:v>103.1</c:v>
                </c:pt>
                <c:pt idx="173">
                  <c:v>102.9</c:v>
                </c:pt>
                <c:pt idx="174">
                  <c:v>103.3</c:v>
                </c:pt>
                <c:pt idx="175">
                  <c:v>103.2</c:v>
                </c:pt>
                <c:pt idx="176">
                  <c:v>102.1</c:v>
                </c:pt>
                <c:pt idx="177">
                  <c:v>102.4</c:v>
                </c:pt>
                <c:pt idx="178">
                  <c:v>103.2</c:v>
                </c:pt>
                <c:pt idx="179">
                  <c:v>103.3</c:v>
                </c:pt>
                <c:pt idx="180">
                  <c:v>103.4</c:v>
                </c:pt>
                <c:pt idx="181">
                  <c:v>105.7</c:v>
                </c:pt>
                <c:pt idx="182">
                  <c:v>106.1</c:v>
                </c:pt>
                <c:pt idx="183">
                  <c:v>106.5</c:v>
                </c:pt>
                <c:pt idx="184">
                  <c:v>107.6</c:v>
                </c:pt>
                <c:pt idx="185">
                  <c:v>105.7</c:v>
                </c:pt>
                <c:pt idx="186">
                  <c:v>105.8</c:v>
                </c:pt>
                <c:pt idx="187">
                  <c:v>105.4</c:v>
                </c:pt>
                <c:pt idx="188">
                  <c:v>104.3</c:v>
                </c:pt>
                <c:pt idx="189">
                  <c:v>103.8</c:v>
                </c:pt>
                <c:pt idx="190">
                  <c:v>104.1</c:v>
                </c:pt>
                <c:pt idx="191">
                  <c:v>104.5</c:v>
                </c:pt>
                <c:pt idx="192">
                  <c:v>104.3</c:v>
                </c:pt>
                <c:pt idx="193">
                  <c:v>105.2</c:v>
                </c:pt>
                <c:pt idx="194">
                  <c:v>105.4</c:v>
                </c:pt>
                <c:pt idx="195">
                  <c:v>105.7</c:v>
                </c:pt>
                <c:pt idx="196">
                  <c:v>105.7</c:v>
                </c:pt>
                <c:pt idx="197">
                  <c:v>106.5</c:v>
                </c:pt>
                <c:pt idx="198">
                  <c:v>107.1</c:v>
                </c:pt>
                <c:pt idx="199">
                  <c:v>107.8</c:v>
                </c:pt>
                <c:pt idx="200">
                  <c:v>108.5</c:v>
                </c:pt>
                <c:pt idx="201">
                  <c:v>110.4</c:v>
                </c:pt>
                <c:pt idx="202">
                  <c:v>108.6</c:v>
                </c:pt>
                <c:pt idx="203">
                  <c:v>109.6</c:v>
                </c:pt>
                <c:pt idx="204">
                  <c:v>108.1</c:v>
                </c:pt>
                <c:pt idx="205">
                  <c:v>108.3</c:v>
                </c:pt>
                <c:pt idx="206">
                  <c:v>110.4</c:v>
                </c:pt>
                <c:pt idx="207">
                  <c:v>109.8</c:v>
                </c:pt>
                <c:pt idx="208">
                  <c:v>109.5</c:v>
                </c:pt>
                <c:pt idx="209">
                  <c:v>109.5</c:v>
                </c:pt>
                <c:pt idx="210">
                  <c:v>110.6</c:v>
                </c:pt>
                <c:pt idx="211">
                  <c:v>113</c:v>
                </c:pt>
                <c:pt idx="212">
                  <c:v>112.6</c:v>
                </c:pt>
                <c:pt idx="213">
                  <c:v>113.3</c:v>
                </c:pt>
                <c:pt idx="214">
                  <c:v>113.8</c:v>
                </c:pt>
                <c:pt idx="215">
                  <c:v>113.6</c:v>
                </c:pt>
                <c:pt idx="216">
                  <c:v>112.5</c:v>
                </c:pt>
                <c:pt idx="217">
                  <c:v>113.3</c:v>
                </c:pt>
                <c:pt idx="218">
                  <c:v>114.1</c:v>
                </c:pt>
                <c:pt idx="219">
                  <c:v>112.3</c:v>
                </c:pt>
                <c:pt idx="220">
                  <c:v>111.9</c:v>
                </c:pt>
                <c:pt idx="221">
                  <c:v>111.4</c:v>
                </c:pt>
                <c:pt idx="222">
                  <c:v>111.6</c:v>
                </c:pt>
                <c:pt idx="223">
                  <c:v>112.3</c:v>
                </c:pt>
                <c:pt idx="224">
                  <c:v>112.2</c:v>
                </c:pt>
                <c:pt idx="225">
                  <c:v>112.8</c:v>
                </c:pt>
                <c:pt idx="226">
                  <c:v>113</c:v>
                </c:pt>
                <c:pt idx="227">
                  <c:v>111.4</c:v>
                </c:pt>
                <c:pt idx="228">
                  <c:v>109.2</c:v>
                </c:pt>
                <c:pt idx="229">
                  <c:v>108</c:v>
                </c:pt>
                <c:pt idx="230">
                  <c:v>108.9</c:v>
                </c:pt>
                <c:pt idx="231">
                  <c:v>109.5</c:v>
                </c:pt>
                <c:pt idx="232">
                  <c:v>108.4</c:v>
                </c:pt>
                <c:pt idx="233">
                  <c:v>109.4</c:v>
                </c:pt>
                <c:pt idx="234">
                  <c:v>109</c:v>
                </c:pt>
                <c:pt idx="235">
                  <c:v>111.5</c:v>
                </c:pt>
                <c:pt idx="236">
                  <c:v>110.2</c:v>
                </c:pt>
                <c:pt idx="237">
                  <c:v>111.9</c:v>
                </c:pt>
                <c:pt idx="238">
                  <c:v>112.8</c:v>
                </c:pt>
                <c:pt idx="239">
                  <c:v>111.6</c:v>
                </c:pt>
                <c:pt idx="240">
                  <c:v>112.8</c:v>
                </c:pt>
                <c:pt idx="241">
                  <c:v>113.1</c:v>
                </c:pt>
                <c:pt idx="242">
                  <c:v>112.9</c:v>
                </c:pt>
                <c:pt idx="243">
                  <c:v>112.4</c:v>
                </c:pt>
                <c:pt idx="244">
                  <c:v>111.2</c:v>
                </c:pt>
                <c:pt idx="245">
                  <c:v>111.7</c:v>
                </c:pt>
                <c:pt idx="246">
                  <c:v>113.1</c:v>
                </c:pt>
                <c:pt idx="247">
                  <c:v>111.6</c:v>
                </c:pt>
                <c:pt idx="248">
                  <c:v>111</c:v>
                </c:pt>
                <c:pt idx="249">
                  <c:v>111.5</c:v>
                </c:pt>
                <c:pt idx="250">
                  <c:v>112.5</c:v>
                </c:pt>
                <c:pt idx="251">
                  <c:v>113</c:v>
                </c:pt>
                <c:pt idx="252">
                  <c:v>114.3</c:v>
                </c:pt>
                <c:pt idx="253">
                  <c:v>114.2</c:v>
                </c:pt>
                <c:pt idx="254">
                  <c:v>114.3</c:v>
                </c:pt>
                <c:pt idx="255">
                  <c:v>114.7</c:v>
                </c:pt>
                <c:pt idx="256">
                  <c:v>116</c:v>
                </c:pt>
                <c:pt idx="257">
                  <c:v>116.8</c:v>
                </c:pt>
                <c:pt idx="258">
                  <c:v>117.7</c:v>
                </c:pt>
                <c:pt idx="259">
                  <c:v>120.3</c:v>
                </c:pt>
                <c:pt idx="260">
                  <c:v>122.3</c:v>
                </c:pt>
                <c:pt idx="261">
                  <c:v>120.9</c:v>
                </c:pt>
                <c:pt idx="262">
                  <c:v>121.4</c:v>
                </c:pt>
                <c:pt idx="263">
                  <c:v>123.8</c:v>
                </c:pt>
                <c:pt idx="264">
                  <c:v>125.7</c:v>
                </c:pt>
                <c:pt idx="265">
                  <c:v>126.7</c:v>
                </c:pt>
                <c:pt idx="266">
                  <c:v>126</c:v>
                </c:pt>
                <c:pt idx="267">
                  <c:v>124.7</c:v>
                </c:pt>
                <c:pt idx="268">
                  <c:v>123.7</c:v>
                </c:pt>
                <c:pt idx="269">
                  <c:v>124.9</c:v>
                </c:pt>
                <c:pt idx="270">
                  <c:v>121.8</c:v>
                </c:pt>
                <c:pt idx="271">
                  <c:v>122</c:v>
                </c:pt>
                <c:pt idx="272">
                  <c:v>122.5</c:v>
                </c:pt>
                <c:pt idx="273">
                  <c:v>124.6</c:v>
                </c:pt>
                <c:pt idx="274">
                  <c:v>125.2</c:v>
                </c:pt>
                <c:pt idx="275">
                  <c:v>126</c:v>
                </c:pt>
                <c:pt idx="276">
                  <c:v>128</c:v>
                </c:pt>
                <c:pt idx="277">
                  <c:v>125.8</c:v>
                </c:pt>
                <c:pt idx="278">
                  <c:v>122.7</c:v>
                </c:pt>
                <c:pt idx="279">
                  <c:v>119.4</c:v>
                </c:pt>
                <c:pt idx="280">
                  <c:v>121.4</c:v>
                </c:pt>
                <c:pt idx="281">
                  <c:v>119.7</c:v>
                </c:pt>
                <c:pt idx="282">
                  <c:v>118.1</c:v>
                </c:pt>
                <c:pt idx="283">
                  <c:v>120.5</c:v>
                </c:pt>
                <c:pt idx="284">
                  <c:v>122</c:v>
                </c:pt>
                <c:pt idx="285">
                  <c:v>120.4</c:v>
                </c:pt>
                <c:pt idx="286">
                  <c:v>120.9</c:v>
                </c:pt>
                <c:pt idx="287">
                  <c:v>120.7</c:v>
                </c:pt>
                <c:pt idx="288">
                  <c:v>119.7</c:v>
                </c:pt>
                <c:pt idx="289">
                  <c:v>118.7</c:v>
                </c:pt>
                <c:pt idx="290">
                  <c:v>118</c:v>
                </c:pt>
                <c:pt idx="291">
                  <c:v>120.3</c:v>
                </c:pt>
                <c:pt idx="292">
                  <c:v>119.7</c:v>
                </c:pt>
                <c:pt idx="293">
                  <c:v>121.2</c:v>
                </c:pt>
                <c:pt idx="294">
                  <c:v>120.5</c:v>
                </c:pt>
                <c:pt idx="295">
                  <c:v>120.7</c:v>
                </c:pt>
                <c:pt idx="296">
                  <c:v>124</c:v>
                </c:pt>
                <c:pt idx="297">
                  <c:v>123.8</c:v>
                </c:pt>
                <c:pt idx="298">
                  <c:v>123.1</c:v>
                </c:pt>
                <c:pt idx="299">
                  <c:v>125.3</c:v>
                </c:pt>
                <c:pt idx="300">
                  <c:v>128.1</c:v>
                </c:pt>
                <c:pt idx="301">
                  <c:v>131.6</c:v>
                </c:pt>
                <c:pt idx="302">
                  <c:v>129.6</c:v>
                </c:pt>
                <c:pt idx="303">
                  <c:v>137.5</c:v>
                </c:pt>
                <c:pt idx="304">
                  <c:v>134.1</c:v>
                </c:pt>
                <c:pt idx="305">
                  <c:v>135</c:v>
                </c:pt>
                <c:pt idx="306">
                  <c:v>137.1</c:v>
                </c:pt>
                <c:pt idx="307">
                  <c:v>139.69999999999999</c:v>
                </c:pt>
                <c:pt idx="308">
                  <c:v>136.6</c:v>
                </c:pt>
                <c:pt idx="309">
                  <c:v>134.9</c:v>
                </c:pt>
                <c:pt idx="310">
                  <c:v>134</c:v>
                </c:pt>
                <c:pt idx="311">
                  <c:v>135.1</c:v>
                </c:pt>
                <c:pt idx="312">
                  <c:v>129.5</c:v>
                </c:pt>
                <c:pt idx="313">
                  <c:v>128</c:v>
                </c:pt>
                <c:pt idx="314">
                  <c:v>127.1</c:v>
                </c:pt>
                <c:pt idx="315">
                  <c:v>130.19999999999999</c:v>
                </c:pt>
                <c:pt idx="316">
                  <c:v>129.6</c:v>
                </c:pt>
                <c:pt idx="317">
                  <c:v>131</c:v>
                </c:pt>
                <c:pt idx="318">
                  <c:v>132.1</c:v>
                </c:pt>
                <c:pt idx="319">
                  <c:v>135.69999999999999</c:v>
                </c:pt>
                <c:pt idx="320">
                  <c:v>138.6</c:v>
                </c:pt>
                <c:pt idx="321">
                  <c:v>141.5</c:v>
                </c:pt>
                <c:pt idx="322">
                  <c:v>139.30000000000001</c:v>
                </c:pt>
                <c:pt idx="323">
                  <c:v>139.30000000000001</c:v>
                </c:pt>
                <c:pt idx="324">
                  <c:v>139.30000000000001</c:v>
                </c:pt>
                <c:pt idx="325">
                  <c:v>139.5</c:v>
                </c:pt>
                <c:pt idx="326">
                  <c:v>137.69999999999999</c:v>
                </c:pt>
                <c:pt idx="327">
                  <c:v>136.80000000000001</c:v>
                </c:pt>
                <c:pt idx="328">
                  <c:v>140.30000000000001</c:v>
                </c:pt>
                <c:pt idx="329">
                  <c:v>145.1</c:v>
                </c:pt>
                <c:pt idx="330">
                  <c:v>142.4</c:v>
                </c:pt>
                <c:pt idx="331">
                  <c:v>144</c:v>
                </c:pt>
                <c:pt idx="332">
                  <c:v>144.80000000000001</c:v>
                </c:pt>
                <c:pt idx="333">
                  <c:v>141.30000000000001</c:v>
                </c:pt>
                <c:pt idx="334">
                  <c:v>141.30000000000001</c:v>
                </c:pt>
              </c:numCache>
            </c:numRef>
          </c:val>
          <c:smooth val="0"/>
          <c:extLst>
            <c:ext xmlns:c16="http://schemas.microsoft.com/office/drawing/2014/chart" uri="{C3380CC4-5D6E-409C-BE32-E72D297353CC}">
              <c16:uniqueId val="{00000000-F6FE-4995-A704-2993D9161CC3}"/>
            </c:ext>
          </c:extLst>
        </c:ser>
        <c:ser>
          <c:idx val="1"/>
          <c:order val="1"/>
          <c:tx>
            <c:strRef>
              <c:f>'19.B.'!$S$2</c:f>
              <c:strCache>
                <c:ptCount val="1"/>
                <c:pt idx="0">
                  <c:v>Copper</c:v>
                </c:pt>
              </c:strCache>
            </c:strRef>
          </c:tx>
          <c:spPr>
            <a:ln w="76200" cap="rnd">
              <a:solidFill>
                <a:srgbClr val="EB1C2D"/>
              </a:solidFill>
              <a:round/>
            </a:ln>
            <a:effectLst/>
          </c:spPr>
          <c:marker>
            <c:symbol val="none"/>
          </c:marker>
          <c:cat>
            <c:numRef>
              <c:f>'19.B.'!$Q$3:$Q$337</c:f>
              <c:numCache>
                <c:formatCode>m/d/yyyy</c:formatCode>
                <c:ptCount val="335"/>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46020</c:v>
                </c:pt>
                <c:pt idx="256">
                  <c:v>46021</c:v>
                </c:pt>
                <c:pt idx="257">
                  <c:v>46022</c:v>
                </c:pt>
                <c:pt idx="258">
                  <c:v>46024</c:v>
                </c:pt>
                <c:pt idx="259">
                  <c:v>46027</c:v>
                </c:pt>
                <c:pt idx="260">
                  <c:v>46028</c:v>
                </c:pt>
                <c:pt idx="261">
                  <c:v>46029</c:v>
                </c:pt>
                <c:pt idx="262">
                  <c:v>46030</c:v>
                </c:pt>
                <c:pt idx="263">
                  <c:v>46031</c:v>
                </c:pt>
                <c:pt idx="264">
                  <c:v>46034</c:v>
                </c:pt>
                <c:pt idx="265">
                  <c:v>46035</c:v>
                </c:pt>
                <c:pt idx="266">
                  <c:v>46036</c:v>
                </c:pt>
                <c:pt idx="267">
                  <c:v>46037</c:v>
                </c:pt>
                <c:pt idx="268">
                  <c:v>46038</c:v>
                </c:pt>
                <c:pt idx="269">
                  <c:v>46041</c:v>
                </c:pt>
                <c:pt idx="270">
                  <c:v>46042</c:v>
                </c:pt>
                <c:pt idx="271">
                  <c:v>46043</c:v>
                </c:pt>
                <c:pt idx="272">
                  <c:v>46044</c:v>
                </c:pt>
                <c:pt idx="273">
                  <c:v>46045</c:v>
                </c:pt>
                <c:pt idx="274">
                  <c:v>46048</c:v>
                </c:pt>
                <c:pt idx="275">
                  <c:v>46049</c:v>
                </c:pt>
                <c:pt idx="276">
                  <c:v>46050</c:v>
                </c:pt>
                <c:pt idx="277">
                  <c:v>46051</c:v>
                </c:pt>
                <c:pt idx="278">
                  <c:v>46052</c:v>
                </c:pt>
                <c:pt idx="279">
                  <c:v>46055</c:v>
                </c:pt>
                <c:pt idx="280">
                  <c:v>46056</c:v>
                </c:pt>
                <c:pt idx="281">
                  <c:v>46057</c:v>
                </c:pt>
                <c:pt idx="282">
                  <c:v>46058</c:v>
                </c:pt>
                <c:pt idx="283">
                  <c:v>46059</c:v>
                </c:pt>
                <c:pt idx="284">
                  <c:v>46062</c:v>
                </c:pt>
                <c:pt idx="285">
                  <c:v>46063</c:v>
                </c:pt>
                <c:pt idx="286">
                  <c:v>46064</c:v>
                </c:pt>
                <c:pt idx="287">
                  <c:v>46065</c:v>
                </c:pt>
                <c:pt idx="288">
                  <c:v>46066</c:v>
                </c:pt>
                <c:pt idx="289">
                  <c:v>46069</c:v>
                </c:pt>
                <c:pt idx="290">
                  <c:v>46070</c:v>
                </c:pt>
                <c:pt idx="291">
                  <c:v>46071</c:v>
                </c:pt>
                <c:pt idx="292">
                  <c:v>46072</c:v>
                </c:pt>
                <c:pt idx="293">
                  <c:v>46073</c:v>
                </c:pt>
                <c:pt idx="294">
                  <c:v>46076</c:v>
                </c:pt>
                <c:pt idx="295">
                  <c:v>46077</c:v>
                </c:pt>
                <c:pt idx="296">
                  <c:v>46078</c:v>
                </c:pt>
                <c:pt idx="297">
                  <c:v>46079</c:v>
                </c:pt>
                <c:pt idx="298">
                  <c:v>46080</c:v>
                </c:pt>
                <c:pt idx="299">
                  <c:v>46083</c:v>
                </c:pt>
                <c:pt idx="300">
                  <c:v>46084</c:v>
                </c:pt>
                <c:pt idx="301">
                  <c:v>46085</c:v>
                </c:pt>
                <c:pt idx="302">
                  <c:v>46086</c:v>
                </c:pt>
                <c:pt idx="303">
                  <c:v>46087</c:v>
                </c:pt>
                <c:pt idx="304">
                  <c:v>46090</c:v>
                </c:pt>
                <c:pt idx="305">
                  <c:v>46091</c:v>
                </c:pt>
                <c:pt idx="306">
                  <c:v>46092</c:v>
                </c:pt>
                <c:pt idx="307">
                  <c:v>46093</c:v>
                </c:pt>
                <c:pt idx="308">
                  <c:v>46094</c:v>
                </c:pt>
                <c:pt idx="309">
                  <c:v>46097</c:v>
                </c:pt>
                <c:pt idx="310">
                  <c:v>46098</c:v>
                </c:pt>
                <c:pt idx="311">
                  <c:v>46099</c:v>
                </c:pt>
                <c:pt idx="312">
                  <c:v>46100</c:v>
                </c:pt>
                <c:pt idx="313">
                  <c:v>46101</c:v>
                </c:pt>
                <c:pt idx="314">
                  <c:v>46104</c:v>
                </c:pt>
                <c:pt idx="315">
                  <c:v>46105</c:v>
                </c:pt>
                <c:pt idx="316">
                  <c:v>46106</c:v>
                </c:pt>
                <c:pt idx="317">
                  <c:v>46107</c:v>
                </c:pt>
                <c:pt idx="318">
                  <c:v>46108</c:v>
                </c:pt>
                <c:pt idx="319">
                  <c:v>46111</c:v>
                </c:pt>
                <c:pt idx="320">
                  <c:v>46112</c:v>
                </c:pt>
                <c:pt idx="321">
                  <c:v>46113</c:v>
                </c:pt>
                <c:pt idx="322">
                  <c:v>46114</c:v>
                </c:pt>
                <c:pt idx="323">
                  <c:v>46115</c:v>
                </c:pt>
                <c:pt idx="324">
                  <c:v>46118</c:v>
                </c:pt>
                <c:pt idx="325">
                  <c:v>46119</c:v>
                </c:pt>
                <c:pt idx="326">
                  <c:v>46120</c:v>
                </c:pt>
                <c:pt idx="327">
                  <c:v>46121</c:v>
                </c:pt>
                <c:pt idx="328">
                  <c:v>46122</c:v>
                </c:pt>
                <c:pt idx="329">
                  <c:v>46125</c:v>
                </c:pt>
                <c:pt idx="330">
                  <c:v>46126</c:v>
                </c:pt>
                <c:pt idx="331">
                  <c:v>46127</c:v>
                </c:pt>
                <c:pt idx="332">
                  <c:v>46128</c:v>
                </c:pt>
                <c:pt idx="333">
                  <c:v>46129</c:v>
                </c:pt>
                <c:pt idx="334">
                  <c:v>46132</c:v>
                </c:pt>
              </c:numCache>
            </c:numRef>
          </c:cat>
          <c:val>
            <c:numRef>
              <c:f>'19.B.'!$S$3:$S$337</c:f>
              <c:numCache>
                <c:formatCode>0</c:formatCode>
                <c:ptCount val="335"/>
                <c:pt idx="0">
                  <c:v>98.6</c:v>
                </c:pt>
                <c:pt idx="1">
                  <c:v>97.7</c:v>
                </c:pt>
                <c:pt idx="2">
                  <c:v>98.6</c:v>
                </c:pt>
                <c:pt idx="3">
                  <c:v>99.9</c:v>
                </c:pt>
                <c:pt idx="4">
                  <c:v>99.9</c:v>
                </c:pt>
                <c:pt idx="5">
                  <c:v>100.3</c:v>
                </c:pt>
                <c:pt idx="6">
                  <c:v>100.9</c:v>
                </c:pt>
                <c:pt idx="7">
                  <c:v>101.1</c:v>
                </c:pt>
                <c:pt idx="8">
                  <c:v>101</c:v>
                </c:pt>
                <c:pt idx="9">
                  <c:v>101.6</c:v>
                </c:pt>
                <c:pt idx="10">
                  <c:v>101.8</c:v>
                </c:pt>
                <c:pt idx="11">
                  <c:v>102.6</c:v>
                </c:pt>
                <c:pt idx="12">
                  <c:v>102.1</c:v>
                </c:pt>
                <c:pt idx="13">
                  <c:v>103</c:v>
                </c:pt>
                <c:pt idx="14">
                  <c:v>103.1</c:v>
                </c:pt>
                <c:pt idx="15">
                  <c:v>102.4</c:v>
                </c:pt>
                <c:pt idx="16">
                  <c:v>102.5</c:v>
                </c:pt>
                <c:pt idx="17">
                  <c:v>102.9</c:v>
                </c:pt>
                <c:pt idx="18">
                  <c:v>100.9</c:v>
                </c:pt>
                <c:pt idx="19">
                  <c:v>99.6</c:v>
                </c:pt>
                <c:pt idx="20">
                  <c:v>100.6</c:v>
                </c:pt>
                <c:pt idx="21">
                  <c:v>101.3</c:v>
                </c:pt>
                <c:pt idx="22">
                  <c:v>100.4</c:v>
                </c:pt>
                <c:pt idx="23">
                  <c:v>100.9</c:v>
                </c:pt>
                <c:pt idx="24">
                  <c:v>101.5</c:v>
                </c:pt>
                <c:pt idx="25">
                  <c:v>102.5</c:v>
                </c:pt>
                <c:pt idx="26">
                  <c:v>102.9</c:v>
                </c:pt>
                <c:pt idx="27">
                  <c:v>104.4</c:v>
                </c:pt>
                <c:pt idx="28">
                  <c:v>104.9</c:v>
                </c:pt>
                <c:pt idx="29">
                  <c:v>103.9</c:v>
                </c:pt>
                <c:pt idx="30">
                  <c:v>105.1</c:v>
                </c:pt>
                <c:pt idx="31">
                  <c:v>106.1</c:v>
                </c:pt>
                <c:pt idx="32">
                  <c:v>106.7</c:v>
                </c:pt>
                <c:pt idx="33">
                  <c:v>104.8</c:v>
                </c:pt>
                <c:pt idx="34">
                  <c:v>105.7</c:v>
                </c:pt>
                <c:pt idx="35">
                  <c:v>106</c:v>
                </c:pt>
                <c:pt idx="36">
                  <c:v>107.2</c:v>
                </c:pt>
                <c:pt idx="37">
                  <c:v>107</c:v>
                </c:pt>
                <c:pt idx="38">
                  <c:v>106.7</c:v>
                </c:pt>
                <c:pt idx="39">
                  <c:v>105.3</c:v>
                </c:pt>
                <c:pt idx="40">
                  <c:v>106.2</c:v>
                </c:pt>
                <c:pt idx="41">
                  <c:v>105.5</c:v>
                </c:pt>
                <c:pt idx="42">
                  <c:v>105</c:v>
                </c:pt>
                <c:pt idx="43">
                  <c:v>105.6</c:v>
                </c:pt>
                <c:pt idx="44">
                  <c:v>104.9</c:v>
                </c:pt>
                <c:pt idx="45">
                  <c:v>107.8</c:v>
                </c:pt>
                <c:pt idx="46">
                  <c:v>109.6</c:v>
                </c:pt>
                <c:pt idx="47">
                  <c:v>108</c:v>
                </c:pt>
                <c:pt idx="48">
                  <c:v>106.9</c:v>
                </c:pt>
                <c:pt idx="49">
                  <c:v>108.4</c:v>
                </c:pt>
                <c:pt idx="50">
                  <c:v>109.6</c:v>
                </c:pt>
                <c:pt idx="51">
                  <c:v>109.6</c:v>
                </c:pt>
                <c:pt idx="52">
                  <c:v>109.4</c:v>
                </c:pt>
                <c:pt idx="53">
                  <c:v>110.2</c:v>
                </c:pt>
                <c:pt idx="54">
                  <c:v>110.8</c:v>
                </c:pt>
                <c:pt idx="55">
                  <c:v>111.9</c:v>
                </c:pt>
                <c:pt idx="56">
                  <c:v>111.1</c:v>
                </c:pt>
                <c:pt idx="57">
                  <c:v>110.3</c:v>
                </c:pt>
                <c:pt idx="58">
                  <c:v>111.5</c:v>
                </c:pt>
                <c:pt idx="59">
                  <c:v>113.5</c:v>
                </c:pt>
                <c:pt idx="60">
                  <c:v>111.1</c:v>
                </c:pt>
                <c:pt idx="61">
                  <c:v>110.2</c:v>
                </c:pt>
                <c:pt idx="62">
                  <c:v>109.6</c:v>
                </c:pt>
                <c:pt idx="63">
                  <c:v>108.6</c:v>
                </c:pt>
                <c:pt idx="64">
                  <c:v>108.5</c:v>
                </c:pt>
                <c:pt idx="65">
                  <c:v>108.5</c:v>
                </c:pt>
                <c:pt idx="66">
                  <c:v>104.8</c:v>
                </c:pt>
                <c:pt idx="67">
                  <c:v>98</c:v>
                </c:pt>
                <c:pt idx="68">
                  <c:v>97.7</c:v>
                </c:pt>
                <c:pt idx="69">
                  <c:v>96.9</c:v>
                </c:pt>
                <c:pt idx="70">
                  <c:v>96.4</c:v>
                </c:pt>
                <c:pt idx="71">
                  <c:v>101.2</c:v>
                </c:pt>
                <c:pt idx="72">
                  <c:v>103.3</c:v>
                </c:pt>
                <c:pt idx="73">
                  <c:v>103</c:v>
                </c:pt>
                <c:pt idx="74">
                  <c:v>102.5</c:v>
                </c:pt>
                <c:pt idx="75">
                  <c:v>103.1</c:v>
                </c:pt>
                <c:pt idx="76">
                  <c:v>103</c:v>
                </c:pt>
                <c:pt idx="77">
                  <c:v>104.1</c:v>
                </c:pt>
                <c:pt idx="78">
                  <c:v>105.7</c:v>
                </c:pt>
                <c:pt idx="79">
                  <c:v>105.2</c:v>
                </c:pt>
                <c:pt idx="80">
                  <c:v>105.3</c:v>
                </c:pt>
                <c:pt idx="81">
                  <c:v>105.7</c:v>
                </c:pt>
                <c:pt idx="82">
                  <c:v>105.4</c:v>
                </c:pt>
                <c:pt idx="83">
                  <c:v>105.8</c:v>
                </c:pt>
                <c:pt idx="84">
                  <c:v>106</c:v>
                </c:pt>
                <c:pt idx="85">
                  <c:v>102.5</c:v>
                </c:pt>
                <c:pt idx="86">
                  <c:v>103.9</c:v>
                </c:pt>
                <c:pt idx="87">
                  <c:v>105.5</c:v>
                </c:pt>
                <c:pt idx="88">
                  <c:v>106</c:v>
                </c:pt>
                <c:pt idx="89">
                  <c:v>107.5</c:v>
                </c:pt>
                <c:pt idx="90">
                  <c:v>106.1</c:v>
                </c:pt>
                <c:pt idx="91">
                  <c:v>106.6</c:v>
                </c:pt>
                <c:pt idx="92">
                  <c:v>106.8</c:v>
                </c:pt>
                <c:pt idx="93">
                  <c:v>107.3</c:v>
                </c:pt>
                <c:pt idx="94">
                  <c:v>108.1</c:v>
                </c:pt>
                <c:pt idx="95">
                  <c:v>108.2</c:v>
                </c:pt>
                <c:pt idx="96">
                  <c:v>108.1</c:v>
                </c:pt>
                <c:pt idx="97">
                  <c:v>106.6</c:v>
                </c:pt>
                <c:pt idx="98">
                  <c:v>107.2</c:v>
                </c:pt>
                <c:pt idx="99">
                  <c:v>107.1</c:v>
                </c:pt>
                <c:pt idx="100">
                  <c:v>107.3</c:v>
                </c:pt>
                <c:pt idx="101">
                  <c:v>107</c:v>
                </c:pt>
                <c:pt idx="102">
                  <c:v>108.4</c:v>
                </c:pt>
                <c:pt idx="103">
                  <c:v>108.3</c:v>
                </c:pt>
                <c:pt idx="104">
                  <c:v>108.3</c:v>
                </c:pt>
                <c:pt idx="105">
                  <c:v>108</c:v>
                </c:pt>
                <c:pt idx="106">
                  <c:v>108.2</c:v>
                </c:pt>
                <c:pt idx="107">
                  <c:v>107.4</c:v>
                </c:pt>
                <c:pt idx="108">
                  <c:v>108.7</c:v>
                </c:pt>
                <c:pt idx="109">
                  <c:v>108.9</c:v>
                </c:pt>
                <c:pt idx="110">
                  <c:v>108.7</c:v>
                </c:pt>
                <c:pt idx="111">
                  <c:v>110.6</c:v>
                </c:pt>
                <c:pt idx="112">
                  <c:v>109.8</c:v>
                </c:pt>
                <c:pt idx="113">
                  <c:v>111.2</c:v>
                </c:pt>
                <c:pt idx="114">
                  <c:v>110.6</c:v>
                </c:pt>
                <c:pt idx="115">
                  <c:v>109.1</c:v>
                </c:pt>
                <c:pt idx="116">
                  <c:v>110</c:v>
                </c:pt>
                <c:pt idx="117">
                  <c:v>109.3</c:v>
                </c:pt>
                <c:pt idx="118">
                  <c:v>110.2</c:v>
                </c:pt>
                <c:pt idx="119">
                  <c:v>110.1</c:v>
                </c:pt>
                <c:pt idx="120">
                  <c:v>109.8</c:v>
                </c:pt>
                <c:pt idx="121">
                  <c:v>109.6</c:v>
                </c:pt>
                <c:pt idx="122">
                  <c:v>111.4</c:v>
                </c:pt>
                <c:pt idx="123">
                  <c:v>111.8</c:v>
                </c:pt>
                <c:pt idx="124">
                  <c:v>110.4</c:v>
                </c:pt>
                <c:pt idx="125">
                  <c:v>110.3</c:v>
                </c:pt>
                <c:pt idx="126">
                  <c:v>114.9</c:v>
                </c:pt>
                <c:pt idx="127">
                  <c:v>113.8</c:v>
                </c:pt>
                <c:pt idx="128">
                  <c:v>113</c:v>
                </c:pt>
                <c:pt idx="129">
                  <c:v>113</c:v>
                </c:pt>
                <c:pt idx="130">
                  <c:v>113.7</c:v>
                </c:pt>
                <c:pt idx="131">
                  <c:v>112.9</c:v>
                </c:pt>
                <c:pt idx="132">
                  <c:v>112</c:v>
                </c:pt>
                <c:pt idx="133">
                  <c:v>111.4</c:v>
                </c:pt>
                <c:pt idx="134">
                  <c:v>110.7</c:v>
                </c:pt>
                <c:pt idx="135">
                  <c:v>108.5</c:v>
                </c:pt>
                <c:pt idx="136">
                  <c:v>109.1</c:v>
                </c:pt>
                <c:pt idx="137">
                  <c:v>108.4</c:v>
                </c:pt>
                <c:pt idx="138">
                  <c:v>107.5</c:v>
                </c:pt>
                <c:pt idx="139">
                  <c:v>107.9</c:v>
                </c:pt>
                <c:pt idx="140">
                  <c:v>107.6</c:v>
                </c:pt>
                <c:pt idx="141">
                  <c:v>108</c:v>
                </c:pt>
                <c:pt idx="142">
                  <c:v>109.3</c:v>
                </c:pt>
                <c:pt idx="143">
                  <c:v>110.1</c:v>
                </c:pt>
                <c:pt idx="144">
                  <c:v>110.8</c:v>
                </c:pt>
                <c:pt idx="145">
                  <c:v>111.1</c:v>
                </c:pt>
                <c:pt idx="146">
                  <c:v>110.5</c:v>
                </c:pt>
                <c:pt idx="147">
                  <c:v>109.2</c:v>
                </c:pt>
                <c:pt idx="148">
                  <c:v>109.5</c:v>
                </c:pt>
                <c:pt idx="149">
                  <c:v>109.6</c:v>
                </c:pt>
                <c:pt idx="150">
                  <c:v>108.5</c:v>
                </c:pt>
                <c:pt idx="151">
                  <c:v>107.5</c:v>
                </c:pt>
                <c:pt idx="152">
                  <c:v>107.7</c:v>
                </c:pt>
                <c:pt idx="153">
                  <c:v>108.3</c:v>
                </c:pt>
                <c:pt idx="154">
                  <c:v>107.6</c:v>
                </c:pt>
                <c:pt idx="155">
                  <c:v>108.1</c:v>
                </c:pt>
                <c:pt idx="156">
                  <c:v>108.1</c:v>
                </c:pt>
                <c:pt idx="157">
                  <c:v>109</c:v>
                </c:pt>
                <c:pt idx="158">
                  <c:v>108.5</c:v>
                </c:pt>
                <c:pt idx="159">
                  <c:v>109.7</c:v>
                </c:pt>
                <c:pt idx="160">
                  <c:v>109.3</c:v>
                </c:pt>
                <c:pt idx="161">
                  <c:v>108.8</c:v>
                </c:pt>
                <c:pt idx="162">
                  <c:v>108.8</c:v>
                </c:pt>
                <c:pt idx="163">
                  <c:v>108.3</c:v>
                </c:pt>
                <c:pt idx="164">
                  <c:v>107.9</c:v>
                </c:pt>
                <c:pt idx="165">
                  <c:v>108.3</c:v>
                </c:pt>
                <c:pt idx="166">
                  <c:v>108.4</c:v>
                </c:pt>
                <c:pt idx="167">
                  <c:v>109.3</c:v>
                </c:pt>
                <c:pt idx="168">
                  <c:v>109.4</c:v>
                </c:pt>
                <c:pt idx="169">
                  <c:v>109.6</c:v>
                </c:pt>
                <c:pt idx="170">
                  <c:v>108.7</c:v>
                </c:pt>
                <c:pt idx="171">
                  <c:v>109.5</c:v>
                </c:pt>
                <c:pt idx="172">
                  <c:v>110.4</c:v>
                </c:pt>
                <c:pt idx="173">
                  <c:v>110.2</c:v>
                </c:pt>
                <c:pt idx="174">
                  <c:v>111.4</c:v>
                </c:pt>
                <c:pt idx="175">
                  <c:v>111.4</c:v>
                </c:pt>
                <c:pt idx="176">
                  <c:v>110.5</c:v>
                </c:pt>
                <c:pt idx="177">
                  <c:v>110.5</c:v>
                </c:pt>
                <c:pt idx="178">
                  <c:v>110.6</c:v>
                </c:pt>
                <c:pt idx="179">
                  <c:v>110.6</c:v>
                </c:pt>
                <c:pt idx="180">
                  <c:v>111.9</c:v>
                </c:pt>
                <c:pt idx="181">
                  <c:v>112.3</c:v>
                </c:pt>
                <c:pt idx="182">
                  <c:v>112.4</c:v>
                </c:pt>
                <c:pt idx="183">
                  <c:v>113.8</c:v>
                </c:pt>
                <c:pt idx="184">
                  <c:v>113.2</c:v>
                </c:pt>
                <c:pt idx="185">
                  <c:v>111.6</c:v>
                </c:pt>
                <c:pt idx="186">
                  <c:v>111</c:v>
                </c:pt>
                <c:pt idx="187">
                  <c:v>111.6</c:v>
                </c:pt>
                <c:pt idx="188">
                  <c:v>111.3</c:v>
                </c:pt>
                <c:pt idx="189">
                  <c:v>111.3</c:v>
                </c:pt>
                <c:pt idx="190">
                  <c:v>115.9</c:v>
                </c:pt>
                <c:pt idx="191">
                  <c:v>115</c:v>
                </c:pt>
                <c:pt idx="192">
                  <c:v>114</c:v>
                </c:pt>
                <c:pt idx="193">
                  <c:v>116.8</c:v>
                </c:pt>
                <c:pt idx="194">
                  <c:v>115</c:v>
                </c:pt>
                <c:pt idx="195">
                  <c:v>116.2</c:v>
                </c:pt>
                <c:pt idx="196">
                  <c:v>117.6</c:v>
                </c:pt>
                <c:pt idx="197">
                  <c:v>120.2</c:v>
                </c:pt>
                <c:pt idx="198">
                  <c:v>119.3</c:v>
                </c:pt>
                <c:pt idx="199">
                  <c:v>120.6</c:v>
                </c:pt>
                <c:pt idx="200">
                  <c:v>119.6</c:v>
                </c:pt>
                <c:pt idx="201">
                  <c:v>121.9</c:v>
                </c:pt>
                <c:pt idx="202">
                  <c:v>117.9</c:v>
                </c:pt>
                <c:pt idx="203">
                  <c:v>124.2</c:v>
                </c:pt>
                <c:pt idx="204">
                  <c:v>119.5</c:v>
                </c:pt>
                <c:pt idx="205">
                  <c:v>120</c:v>
                </c:pt>
                <c:pt idx="206">
                  <c:v>119.6</c:v>
                </c:pt>
                <c:pt idx="207">
                  <c:v>119</c:v>
                </c:pt>
                <c:pt idx="208">
                  <c:v>119.9</c:v>
                </c:pt>
                <c:pt idx="209">
                  <c:v>119.1</c:v>
                </c:pt>
                <c:pt idx="210">
                  <c:v>119.8</c:v>
                </c:pt>
                <c:pt idx="211">
                  <c:v>121.9</c:v>
                </c:pt>
                <c:pt idx="212">
                  <c:v>123</c:v>
                </c:pt>
                <c:pt idx="213">
                  <c:v>123.7</c:v>
                </c:pt>
                <c:pt idx="214">
                  <c:v>123.9</c:v>
                </c:pt>
                <c:pt idx="215">
                  <c:v>125.5</c:v>
                </c:pt>
                <c:pt idx="216">
                  <c:v>122.5</c:v>
                </c:pt>
                <c:pt idx="217">
                  <c:v>122.2</c:v>
                </c:pt>
                <c:pt idx="218">
                  <c:v>121.8</c:v>
                </c:pt>
                <c:pt idx="219">
                  <c:v>119.6</c:v>
                </c:pt>
                <c:pt idx="220">
                  <c:v>119.8</c:v>
                </c:pt>
                <c:pt idx="221">
                  <c:v>119.8</c:v>
                </c:pt>
                <c:pt idx="222">
                  <c:v>120.3</c:v>
                </c:pt>
                <c:pt idx="223">
                  <c:v>121.2</c:v>
                </c:pt>
                <c:pt idx="224">
                  <c:v>121.5</c:v>
                </c:pt>
                <c:pt idx="225">
                  <c:v>122.9</c:v>
                </c:pt>
                <c:pt idx="226">
                  <c:v>123.1</c:v>
                </c:pt>
                <c:pt idx="227">
                  <c:v>122.1</c:v>
                </c:pt>
                <c:pt idx="228">
                  <c:v>120.8</c:v>
                </c:pt>
                <c:pt idx="229">
                  <c:v>120.1</c:v>
                </c:pt>
                <c:pt idx="230">
                  <c:v>120.5</c:v>
                </c:pt>
                <c:pt idx="231">
                  <c:v>120.5</c:v>
                </c:pt>
                <c:pt idx="232">
                  <c:v>121.2</c:v>
                </c:pt>
                <c:pt idx="233">
                  <c:v>121.4</c:v>
                </c:pt>
                <c:pt idx="234">
                  <c:v>121.7</c:v>
                </c:pt>
                <c:pt idx="235">
                  <c:v>123.5</c:v>
                </c:pt>
                <c:pt idx="236">
                  <c:v>123.2</c:v>
                </c:pt>
                <c:pt idx="237">
                  <c:v>126.3</c:v>
                </c:pt>
                <c:pt idx="238">
                  <c:v>127.3</c:v>
                </c:pt>
                <c:pt idx="239">
                  <c:v>126.1</c:v>
                </c:pt>
                <c:pt idx="240">
                  <c:v>130.19999999999999</c:v>
                </c:pt>
                <c:pt idx="241">
                  <c:v>129.30000000000001</c:v>
                </c:pt>
                <c:pt idx="242">
                  <c:v>130.9</c:v>
                </c:pt>
                <c:pt idx="243">
                  <c:v>130.9</c:v>
                </c:pt>
                <c:pt idx="244">
                  <c:v>129.19999999999999</c:v>
                </c:pt>
                <c:pt idx="245">
                  <c:v>130.1</c:v>
                </c:pt>
                <c:pt idx="246">
                  <c:v>133.80000000000001</c:v>
                </c:pt>
                <c:pt idx="247">
                  <c:v>129.69999999999999</c:v>
                </c:pt>
                <c:pt idx="248">
                  <c:v>131</c:v>
                </c:pt>
                <c:pt idx="249">
                  <c:v>130.19999999999999</c:v>
                </c:pt>
                <c:pt idx="250">
                  <c:v>131.9</c:v>
                </c:pt>
                <c:pt idx="251">
                  <c:v>132.30000000000001</c:v>
                </c:pt>
                <c:pt idx="252">
                  <c:v>133.6</c:v>
                </c:pt>
                <c:pt idx="253">
                  <c:v>134.1</c:v>
                </c:pt>
                <c:pt idx="254">
                  <c:v>135.69999999999999</c:v>
                </c:pt>
                <c:pt idx="255">
                  <c:v>137.80000000000001</c:v>
                </c:pt>
                <c:pt idx="256">
                  <c:v>141.6</c:v>
                </c:pt>
                <c:pt idx="257">
                  <c:v>140</c:v>
                </c:pt>
                <c:pt idx="258">
                  <c:v>140.6</c:v>
                </c:pt>
                <c:pt idx="259">
                  <c:v>146.5</c:v>
                </c:pt>
                <c:pt idx="260">
                  <c:v>148.9</c:v>
                </c:pt>
                <c:pt idx="261">
                  <c:v>145.19999999999999</c:v>
                </c:pt>
                <c:pt idx="262">
                  <c:v>143.19999999999999</c:v>
                </c:pt>
                <c:pt idx="263">
                  <c:v>146.6</c:v>
                </c:pt>
                <c:pt idx="264">
                  <c:v>149.19999999999999</c:v>
                </c:pt>
                <c:pt idx="265">
                  <c:v>149</c:v>
                </c:pt>
                <c:pt idx="266">
                  <c:v>148.80000000000001</c:v>
                </c:pt>
                <c:pt idx="267">
                  <c:v>147.80000000000001</c:v>
                </c:pt>
                <c:pt idx="268">
                  <c:v>144.6</c:v>
                </c:pt>
                <c:pt idx="269">
                  <c:v>146.5</c:v>
                </c:pt>
                <c:pt idx="270">
                  <c:v>144.5</c:v>
                </c:pt>
                <c:pt idx="271">
                  <c:v>143.69999999999999</c:v>
                </c:pt>
                <c:pt idx="272">
                  <c:v>142.5</c:v>
                </c:pt>
                <c:pt idx="273">
                  <c:v>146.69999999999999</c:v>
                </c:pt>
                <c:pt idx="274">
                  <c:v>147.6</c:v>
                </c:pt>
                <c:pt idx="275">
                  <c:v>145.19999999999999</c:v>
                </c:pt>
                <c:pt idx="276">
                  <c:v>146</c:v>
                </c:pt>
                <c:pt idx="277">
                  <c:v>152.1</c:v>
                </c:pt>
                <c:pt idx="278">
                  <c:v>146.9</c:v>
                </c:pt>
                <c:pt idx="279">
                  <c:v>144.30000000000001</c:v>
                </c:pt>
                <c:pt idx="280">
                  <c:v>150.80000000000001</c:v>
                </c:pt>
                <c:pt idx="281">
                  <c:v>145.69999999999999</c:v>
                </c:pt>
                <c:pt idx="282">
                  <c:v>144.19999999999999</c:v>
                </c:pt>
                <c:pt idx="283">
                  <c:v>145.30000000000001</c:v>
                </c:pt>
                <c:pt idx="284">
                  <c:v>147.30000000000001</c:v>
                </c:pt>
                <c:pt idx="285">
                  <c:v>146.5</c:v>
                </c:pt>
                <c:pt idx="286">
                  <c:v>147.19999999999999</c:v>
                </c:pt>
                <c:pt idx="287">
                  <c:v>143.69999999999999</c:v>
                </c:pt>
                <c:pt idx="288">
                  <c:v>143.6</c:v>
                </c:pt>
                <c:pt idx="289">
                  <c:v>143.19999999999999</c:v>
                </c:pt>
                <c:pt idx="290">
                  <c:v>140.69999999999999</c:v>
                </c:pt>
                <c:pt idx="291">
                  <c:v>144.1</c:v>
                </c:pt>
                <c:pt idx="292">
                  <c:v>142.9</c:v>
                </c:pt>
                <c:pt idx="293">
                  <c:v>144.80000000000001</c:v>
                </c:pt>
                <c:pt idx="294">
                  <c:v>143.69999999999999</c:v>
                </c:pt>
                <c:pt idx="295">
                  <c:v>147</c:v>
                </c:pt>
                <c:pt idx="296">
                  <c:v>148.9</c:v>
                </c:pt>
                <c:pt idx="297">
                  <c:v>148.80000000000001</c:v>
                </c:pt>
                <c:pt idx="298">
                  <c:v>149.5</c:v>
                </c:pt>
                <c:pt idx="299">
                  <c:v>146.5</c:v>
                </c:pt>
                <c:pt idx="300">
                  <c:v>145.19999999999999</c:v>
                </c:pt>
                <c:pt idx="301">
                  <c:v>146.6</c:v>
                </c:pt>
                <c:pt idx="302">
                  <c:v>144.6</c:v>
                </c:pt>
                <c:pt idx="303">
                  <c:v>144.1</c:v>
                </c:pt>
                <c:pt idx="304">
                  <c:v>144.9</c:v>
                </c:pt>
                <c:pt idx="305">
                  <c:v>146.69999999999999</c:v>
                </c:pt>
                <c:pt idx="306">
                  <c:v>145.5</c:v>
                </c:pt>
                <c:pt idx="307">
                  <c:v>145</c:v>
                </c:pt>
                <c:pt idx="308">
                  <c:v>142.5</c:v>
                </c:pt>
                <c:pt idx="309">
                  <c:v>143.4</c:v>
                </c:pt>
                <c:pt idx="310">
                  <c:v>142.4</c:v>
                </c:pt>
                <c:pt idx="311">
                  <c:v>138.19999999999999</c:v>
                </c:pt>
                <c:pt idx="312">
                  <c:v>135.4</c:v>
                </c:pt>
                <c:pt idx="313">
                  <c:v>133.1</c:v>
                </c:pt>
                <c:pt idx="314">
                  <c:v>135.80000000000001</c:v>
                </c:pt>
                <c:pt idx="315">
                  <c:v>135</c:v>
                </c:pt>
                <c:pt idx="316">
                  <c:v>137.69999999999999</c:v>
                </c:pt>
                <c:pt idx="317">
                  <c:v>135.80000000000001</c:v>
                </c:pt>
                <c:pt idx="318">
                  <c:v>136.30000000000001</c:v>
                </c:pt>
                <c:pt idx="319">
                  <c:v>136.5</c:v>
                </c:pt>
                <c:pt idx="320">
                  <c:v>137.80000000000001</c:v>
                </c:pt>
                <c:pt idx="321">
                  <c:v>138.80000000000001</c:v>
                </c:pt>
                <c:pt idx="322">
                  <c:v>138.19999999999999</c:v>
                </c:pt>
                <c:pt idx="323">
                  <c:v>138.19999999999999</c:v>
                </c:pt>
                <c:pt idx="324">
                  <c:v>138.19999999999999</c:v>
                </c:pt>
                <c:pt idx="325">
                  <c:v>137.5</c:v>
                </c:pt>
                <c:pt idx="326">
                  <c:v>141.80000000000001</c:v>
                </c:pt>
                <c:pt idx="327">
                  <c:v>141.5</c:v>
                </c:pt>
                <c:pt idx="328">
                  <c:v>144.1</c:v>
                </c:pt>
                <c:pt idx="329">
                  <c:v>146.1</c:v>
                </c:pt>
                <c:pt idx="330">
                  <c:v>149</c:v>
                </c:pt>
                <c:pt idx="331">
                  <c:v>148.30000000000001</c:v>
                </c:pt>
                <c:pt idx="332">
                  <c:v>148.5</c:v>
                </c:pt>
                <c:pt idx="333">
                  <c:v>149.30000000000001</c:v>
                </c:pt>
                <c:pt idx="334">
                  <c:v>149.30000000000001</c:v>
                </c:pt>
              </c:numCache>
            </c:numRef>
          </c:val>
          <c:smooth val="0"/>
          <c:extLst>
            <c:ext xmlns:c16="http://schemas.microsoft.com/office/drawing/2014/chart" uri="{C3380CC4-5D6E-409C-BE32-E72D297353CC}">
              <c16:uniqueId val="{00000001-F6FE-4995-A704-2993D9161CC3}"/>
            </c:ext>
          </c:extLst>
        </c:ser>
        <c:dLbls>
          <c:showLegendKey val="0"/>
          <c:showVal val="0"/>
          <c:showCatName val="0"/>
          <c:showSerName val="0"/>
          <c:showPercent val="0"/>
          <c:showBubbleSize val="0"/>
        </c:dLbls>
        <c:smooth val="0"/>
        <c:axId val="211906352"/>
        <c:axId val="211890032"/>
      </c:lineChart>
      <c:dateAx>
        <c:axId val="211906352"/>
        <c:scaling>
          <c:orientation val="minMax"/>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11890032"/>
        <c:crosses val="autoZero"/>
        <c:auto val="1"/>
        <c:lblOffset val="100"/>
        <c:baseTimeUnit val="days"/>
        <c:majorUnit val="76"/>
        <c:majorTimeUnit val="days"/>
      </c:dateAx>
      <c:valAx>
        <c:axId val="211890032"/>
        <c:scaling>
          <c:orientation val="minMax"/>
          <c:min val="8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1906352"/>
        <c:crosses val="autoZero"/>
        <c:crossBetween val="between"/>
      </c:valAx>
      <c:spPr>
        <a:noFill/>
        <a:ln>
          <a:noFill/>
        </a:ln>
        <a:effectLst/>
      </c:spPr>
    </c:plotArea>
    <c:legend>
      <c:legendPos val="t"/>
      <c:layout>
        <c:manualLayout>
          <c:xMode val="edge"/>
          <c:yMode val="edge"/>
          <c:x val="0.45573786089238844"/>
          <c:y val="4.9648002333041702E-2"/>
          <c:w val="0.48811086006601911"/>
          <c:h val="7.6019175289039287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386520899763564E-2"/>
          <c:y val="0.1243131147068155"/>
          <c:w val="0.87318416447944003"/>
          <c:h val="0.5086088250297699"/>
        </c:manualLayout>
      </c:layout>
      <c:barChart>
        <c:barDir val="col"/>
        <c:grouping val="clustered"/>
        <c:varyColors val="0"/>
        <c:ser>
          <c:idx val="0"/>
          <c:order val="0"/>
          <c:spPr>
            <a:solidFill>
              <a:srgbClr val="002345"/>
            </a:solidFill>
            <a:ln w="76200">
              <a:noFill/>
            </a:ln>
            <a:effectLst/>
          </c:spPr>
          <c:invertIfNegative val="0"/>
          <c:cat>
            <c:strRef>
              <c:f>'19.C.'!$Q$3:$Q$8</c:f>
              <c:strCache>
                <c:ptCount val="6"/>
                <c:pt idx="0">
                  <c:v>Tin</c:v>
                </c:pt>
                <c:pt idx="1">
                  <c:v>Nickel</c:v>
                </c:pt>
                <c:pt idx="2">
                  <c:v>Aluminum</c:v>
                </c:pt>
                <c:pt idx="3">
                  <c:v>Zinc</c:v>
                </c:pt>
                <c:pt idx="4">
                  <c:v>Lead</c:v>
                </c:pt>
                <c:pt idx="5">
                  <c:v>Copper</c:v>
                </c:pt>
              </c:strCache>
            </c:strRef>
          </c:cat>
          <c:val>
            <c:numRef>
              <c:f>'19.C.'!$R$3:$R$8</c:f>
              <c:numCache>
                <c:formatCode>0.0</c:formatCode>
                <c:ptCount val="6"/>
                <c:pt idx="0">
                  <c:v>8.2799999999999994</c:v>
                </c:pt>
                <c:pt idx="1">
                  <c:v>4.8099999999999996</c:v>
                </c:pt>
                <c:pt idx="2">
                  <c:v>3.15</c:v>
                </c:pt>
                <c:pt idx="3">
                  <c:v>2.17</c:v>
                </c:pt>
                <c:pt idx="4">
                  <c:v>1.02</c:v>
                </c:pt>
                <c:pt idx="5">
                  <c:v>0.09</c:v>
                </c:pt>
              </c:numCache>
            </c:numRef>
          </c:val>
          <c:extLst>
            <c:ext xmlns:c16="http://schemas.microsoft.com/office/drawing/2014/chart" uri="{C3380CC4-5D6E-409C-BE32-E72D297353CC}">
              <c16:uniqueId val="{00000000-5ECF-4A59-B094-CA5D24472A28}"/>
            </c:ext>
          </c:extLst>
        </c:ser>
        <c:dLbls>
          <c:showLegendKey val="0"/>
          <c:showVal val="0"/>
          <c:showCatName val="0"/>
          <c:showSerName val="0"/>
          <c:showPercent val="0"/>
          <c:showBubbleSize val="0"/>
        </c:dLbls>
        <c:gapWidth val="150"/>
        <c:axId val="1333947151"/>
        <c:axId val="1333941391"/>
      </c:barChart>
      <c:catAx>
        <c:axId val="133394715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333941391"/>
        <c:crosses val="autoZero"/>
        <c:auto val="1"/>
        <c:lblAlgn val="ctr"/>
        <c:lblOffset val="100"/>
        <c:noMultiLvlLbl val="0"/>
      </c:catAx>
      <c:valAx>
        <c:axId val="133394139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33947151"/>
        <c:crosses val="autoZero"/>
        <c:crossBetween val="between"/>
        <c:majorUnit val="3"/>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91763142144624"/>
          <c:y val="0.16538755861715934"/>
          <c:w val="0.66070841152208315"/>
          <c:h val="0.52630156598415145"/>
        </c:manualLayout>
      </c:layout>
      <c:barChart>
        <c:barDir val="col"/>
        <c:grouping val="clustered"/>
        <c:varyColors val="0"/>
        <c:ser>
          <c:idx val="0"/>
          <c:order val="0"/>
          <c:tx>
            <c:strRef>
              <c:f>'19.D'!$Q$3</c:f>
              <c:strCache>
                <c:ptCount val="1"/>
                <c:pt idx="0">
                  <c:v>2026 April forecasts</c:v>
                </c:pt>
              </c:strCache>
            </c:strRef>
          </c:tx>
          <c:spPr>
            <a:solidFill>
              <a:srgbClr val="002345"/>
            </a:solidFill>
            <a:ln w="76200">
              <a:noFill/>
            </a:ln>
            <a:effectLst/>
          </c:spPr>
          <c:invertIfNegative val="0"/>
          <c:errBars>
            <c:errBarType val="both"/>
            <c:errValType val="cust"/>
            <c:noEndCap val="0"/>
            <c:plus>
              <c:numRef>
                <c:f>'19.D'!$R$7:$W$7</c:f>
                <c:numCache>
                  <c:formatCode>General</c:formatCode>
                  <c:ptCount val="6"/>
                  <c:pt idx="0">
                    <c:v>8439.7999999999993</c:v>
                  </c:pt>
                  <c:pt idx="1">
                    <c:v>692.7</c:v>
                  </c:pt>
                  <c:pt idx="2">
                    <c:v>1029.0999999999999</c:v>
                  </c:pt>
                </c:numCache>
              </c:numRef>
            </c:plus>
            <c:minus>
              <c:numRef>
                <c:f>'19.D'!$R$5:$W$5</c:f>
                <c:numCache>
                  <c:formatCode>General</c:formatCode>
                  <c:ptCount val="6"/>
                  <c:pt idx="0">
                    <c:v>3187.2</c:v>
                  </c:pt>
                  <c:pt idx="1">
                    <c:v>577.79999999999995</c:v>
                  </c:pt>
                  <c:pt idx="2">
                    <c:v>1105.7</c:v>
                  </c:pt>
                </c:numCache>
              </c:numRef>
            </c:minus>
            <c:spPr>
              <a:noFill/>
              <a:ln w="50800" cap="sq" cmpd="sng" algn="ctr">
                <a:solidFill>
                  <a:schemeClr val="accent4"/>
                </a:solidFill>
                <a:round/>
              </a:ln>
              <a:effectLst/>
            </c:spPr>
          </c:errBars>
          <c:cat>
            <c:strRef>
              <c:f>'19.D'!$R$2:$W$2</c:f>
              <c:strCache>
                <c:ptCount val="6"/>
                <c:pt idx="0">
                  <c:v>Tin</c:v>
                </c:pt>
                <c:pt idx="1">
                  <c:v>Nickel</c:v>
                </c:pt>
                <c:pt idx="2">
                  <c:v>Copper</c:v>
                </c:pt>
                <c:pt idx="3">
                  <c:v>Zinc 
(RHS)</c:v>
                </c:pt>
                <c:pt idx="4">
                  <c:v>Aluminum (RHS)</c:v>
                </c:pt>
                <c:pt idx="5">
                  <c:v>Lead 
(RHS)</c:v>
                </c:pt>
              </c:strCache>
            </c:strRef>
          </c:cat>
          <c:val>
            <c:numRef>
              <c:f>'19.D'!$R$3:$W$3</c:f>
              <c:numCache>
                <c:formatCode>0</c:formatCode>
                <c:ptCount val="6"/>
                <c:pt idx="0">
                  <c:v>41000</c:v>
                </c:pt>
                <c:pt idx="1">
                  <c:v>17000</c:v>
                </c:pt>
                <c:pt idx="2">
                  <c:v>12000</c:v>
                </c:pt>
              </c:numCache>
            </c:numRef>
          </c:val>
          <c:extLst>
            <c:ext xmlns:c16="http://schemas.microsoft.com/office/drawing/2014/chart" uri="{C3380CC4-5D6E-409C-BE32-E72D297353CC}">
              <c16:uniqueId val="{00000000-D6AA-44E4-969C-3A573A7F3F81}"/>
            </c:ext>
          </c:extLst>
        </c:ser>
        <c:dLbls>
          <c:showLegendKey val="0"/>
          <c:showVal val="0"/>
          <c:showCatName val="0"/>
          <c:showSerName val="0"/>
          <c:showPercent val="0"/>
          <c:showBubbleSize val="0"/>
        </c:dLbls>
        <c:gapWidth val="150"/>
        <c:axId val="130609103"/>
        <c:axId val="130605263"/>
      </c:barChart>
      <c:barChart>
        <c:barDir val="col"/>
        <c:grouping val="clustered"/>
        <c:varyColors val="0"/>
        <c:ser>
          <c:idx val="3"/>
          <c:order val="3"/>
          <c:tx>
            <c:strRef>
              <c:f>'19.D'!$Q$4</c:f>
              <c:strCache>
                <c:ptCount val="1"/>
              </c:strCache>
            </c:strRef>
          </c:tx>
          <c:spPr>
            <a:solidFill>
              <a:schemeClr val="accent1"/>
            </a:solidFill>
            <a:ln>
              <a:noFill/>
            </a:ln>
            <a:effectLst/>
          </c:spPr>
          <c:invertIfNegative val="0"/>
          <c:errBars>
            <c:errBarType val="both"/>
            <c:errValType val="cust"/>
            <c:noEndCap val="0"/>
            <c:plus>
              <c:numRef>
                <c:f>'19.D'!$R$8:$W$8</c:f>
                <c:numCache>
                  <c:formatCode>General</c:formatCode>
                  <c:ptCount val="6"/>
                  <c:pt idx="3">
                    <c:v>291</c:v>
                  </c:pt>
                  <c:pt idx="4">
                    <c:v>535.70000000000005</c:v>
                  </c:pt>
                  <c:pt idx="5">
                    <c:v>35.6</c:v>
                  </c:pt>
                </c:numCache>
              </c:numRef>
            </c:plus>
            <c:minus>
              <c:numRef>
                <c:f>'19.D'!$R$6:$W$6</c:f>
                <c:numCache>
                  <c:formatCode>General</c:formatCode>
                  <c:ptCount val="6"/>
                  <c:pt idx="3">
                    <c:v>38.5</c:v>
                  </c:pt>
                  <c:pt idx="4">
                    <c:v>571.5</c:v>
                  </c:pt>
                  <c:pt idx="5">
                    <c:v>16.8</c:v>
                  </c:pt>
                </c:numCache>
              </c:numRef>
            </c:minus>
            <c:spPr>
              <a:noFill/>
              <a:ln w="50800" cap="sq" cmpd="sng" algn="ctr">
                <a:solidFill>
                  <a:schemeClr val="accent4"/>
                </a:solidFill>
                <a:round/>
              </a:ln>
              <a:effectLst/>
            </c:spPr>
          </c:errBars>
          <c:cat>
            <c:strRef>
              <c:f>'19.D'!$R$2:$W$2</c:f>
              <c:strCache>
                <c:ptCount val="6"/>
                <c:pt idx="0">
                  <c:v>Tin</c:v>
                </c:pt>
                <c:pt idx="1">
                  <c:v>Nickel</c:v>
                </c:pt>
                <c:pt idx="2">
                  <c:v>Copper</c:v>
                </c:pt>
                <c:pt idx="3">
                  <c:v>Zinc 
(RHS)</c:v>
                </c:pt>
                <c:pt idx="4">
                  <c:v>Aluminum (RHS)</c:v>
                </c:pt>
                <c:pt idx="5">
                  <c:v>Lead 
(RHS)</c:v>
                </c:pt>
              </c:strCache>
            </c:strRef>
          </c:cat>
          <c:val>
            <c:numRef>
              <c:f>'19.D'!$R$4:$W$4</c:f>
              <c:numCache>
                <c:formatCode>0</c:formatCode>
                <c:ptCount val="6"/>
                <c:pt idx="3">
                  <c:v>3000</c:v>
                </c:pt>
                <c:pt idx="4">
                  <c:v>3200</c:v>
                </c:pt>
                <c:pt idx="5">
                  <c:v>1950</c:v>
                </c:pt>
              </c:numCache>
            </c:numRef>
          </c:val>
          <c:extLst>
            <c:ext xmlns:c16="http://schemas.microsoft.com/office/drawing/2014/chart" uri="{C3380CC4-5D6E-409C-BE32-E72D297353CC}">
              <c16:uniqueId val="{00000001-D6AA-44E4-969C-3A573A7F3F81}"/>
            </c:ext>
          </c:extLst>
        </c:ser>
        <c:dLbls>
          <c:showLegendKey val="0"/>
          <c:showVal val="0"/>
          <c:showCatName val="0"/>
          <c:showSerName val="0"/>
          <c:showPercent val="0"/>
          <c:showBubbleSize val="0"/>
        </c:dLbls>
        <c:gapWidth val="150"/>
        <c:axId val="130604783"/>
        <c:axId val="130604303"/>
      </c:barChart>
      <c:lineChart>
        <c:grouping val="standard"/>
        <c:varyColors val="0"/>
        <c:ser>
          <c:idx val="2"/>
          <c:order val="2"/>
          <c:tx>
            <c:strRef>
              <c:f>'19.D'!$Q$9</c:f>
              <c:strCache>
                <c:ptCount val="1"/>
                <c:pt idx="0">
                  <c:v>2026 January forecasts</c:v>
                </c:pt>
              </c:strCache>
            </c:strRef>
          </c:tx>
          <c:spPr>
            <a:ln w="76200" cap="rnd">
              <a:noFill/>
              <a:round/>
            </a:ln>
            <a:effectLst/>
          </c:spPr>
          <c:marker>
            <c:symbol val="diamond"/>
            <c:size val="20"/>
            <c:spPr>
              <a:solidFill>
                <a:schemeClr val="accent2"/>
              </a:solidFill>
              <a:ln w="76200">
                <a:noFill/>
              </a:ln>
              <a:effectLst/>
            </c:spPr>
          </c:marker>
          <c:cat>
            <c:strRef>
              <c:f>'19.D'!$R$2:$W$2</c:f>
              <c:strCache>
                <c:ptCount val="6"/>
                <c:pt idx="0">
                  <c:v>Tin</c:v>
                </c:pt>
                <c:pt idx="1">
                  <c:v>Nickel</c:v>
                </c:pt>
                <c:pt idx="2">
                  <c:v>Copper</c:v>
                </c:pt>
                <c:pt idx="3">
                  <c:v>Zinc 
(RHS)</c:v>
                </c:pt>
                <c:pt idx="4">
                  <c:v>Aluminum (RHS)</c:v>
                </c:pt>
                <c:pt idx="5">
                  <c:v>Lead 
(RHS)</c:v>
                </c:pt>
              </c:strCache>
            </c:strRef>
          </c:cat>
          <c:val>
            <c:numRef>
              <c:f>'19.D'!$R$9:$W$9</c:f>
              <c:numCache>
                <c:formatCode>0</c:formatCode>
                <c:ptCount val="6"/>
                <c:pt idx="0">
                  <c:v>34200</c:v>
                </c:pt>
                <c:pt idx="1">
                  <c:v>15500</c:v>
                </c:pt>
                <c:pt idx="2">
                  <c:v>9900</c:v>
                </c:pt>
              </c:numCache>
            </c:numRef>
          </c:val>
          <c:smooth val="0"/>
          <c:extLst>
            <c:ext xmlns:c16="http://schemas.microsoft.com/office/drawing/2014/chart" uri="{C3380CC4-5D6E-409C-BE32-E72D297353CC}">
              <c16:uniqueId val="{00000002-D6AA-44E4-969C-3A573A7F3F81}"/>
            </c:ext>
          </c:extLst>
        </c:ser>
        <c:dLbls>
          <c:showLegendKey val="0"/>
          <c:showVal val="0"/>
          <c:showCatName val="0"/>
          <c:showSerName val="0"/>
          <c:showPercent val="0"/>
          <c:showBubbleSize val="0"/>
        </c:dLbls>
        <c:marker val="1"/>
        <c:smooth val="0"/>
        <c:axId val="130609103"/>
        <c:axId val="130605263"/>
      </c:lineChart>
      <c:lineChart>
        <c:grouping val="standard"/>
        <c:varyColors val="0"/>
        <c:ser>
          <c:idx val="1"/>
          <c:order val="1"/>
          <c:tx>
            <c:strRef>
              <c:f>'19.D'!$Q$10</c:f>
              <c:strCache>
                <c:ptCount val="1"/>
              </c:strCache>
            </c:strRef>
          </c:tx>
          <c:spPr>
            <a:ln w="25400" cap="rnd">
              <a:noFill/>
              <a:round/>
            </a:ln>
            <a:effectLst/>
          </c:spPr>
          <c:marker>
            <c:symbol val="diamond"/>
            <c:size val="20"/>
            <c:spPr>
              <a:solidFill>
                <a:srgbClr val="EB1C2D"/>
              </a:solidFill>
              <a:ln w="76200">
                <a:noFill/>
              </a:ln>
              <a:effectLst/>
            </c:spPr>
          </c:marker>
          <c:cat>
            <c:strRef>
              <c:f>'19.D'!$R$2:$W$2</c:f>
              <c:strCache>
                <c:ptCount val="6"/>
                <c:pt idx="0">
                  <c:v>Tin</c:v>
                </c:pt>
                <c:pt idx="1">
                  <c:v>Nickel</c:v>
                </c:pt>
                <c:pt idx="2">
                  <c:v>Copper</c:v>
                </c:pt>
                <c:pt idx="3">
                  <c:v>Zinc 
(RHS)</c:v>
                </c:pt>
                <c:pt idx="4">
                  <c:v>Aluminum (RHS)</c:v>
                </c:pt>
                <c:pt idx="5">
                  <c:v>Lead 
(RHS)</c:v>
                </c:pt>
              </c:strCache>
            </c:strRef>
          </c:cat>
          <c:val>
            <c:numRef>
              <c:f>'19.D'!$R$10:$W$10</c:f>
              <c:numCache>
                <c:formatCode>0</c:formatCode>
                <c:ptCount val="6"/>
                <c:pt idx="3">
                  <c:v>2750</c:v>
                </c:pt>
                <c:pt idx="4">
                  <c:v>2650</c:v>
                </c:pt>
                <c:pt idx="5">
                  <c:v>1975</c:v>
                </c:pt>
              </c:numCache>
            </c:numRef>
          </c:val>
          <c:smooth val="0"/>
          <c:extLst>
            <c:ext xmlns:c16="http://schemas.microsoft.com/office/drawing/2014/chart" uri="{C3380CC4-5D6E-409C-BE32-E72D297353CC}">
              <c16:uniqueId val="{00000003-D6AA-44E4-969C-3A573A7F3F81}"/>
            </c:ext>
          </c:extLst>
        </c:ser>
        <c:ser>
          <c:idx val="4"/>
          <c:order val="4"/>
          <c:tx>
            <c:strRef>
              <c:f>'19.D'!$Q$11</c:f>
              <c:strCache>
                <c:ptCount val="1"/>
                <c:pt idx="0">
                  <c:v>Forecast range</c:v>
                </c:pt>
              </c:strCache>
            </c:strRef>
          </c:tx>
          <c:spPr>
            <a:ln w="25400" cap="rnd">
              <a:noFill/>
              <a:round/>
            </a:ln>
            <a:effectLst/>
          </c:spPr>
          <c:marker>
            <c:symbol val="dash"/>
            <c:size val="24"/>
            <c:spPr>
              <a:solidFill>
                <a:schemeClr val="accent4"/>
              </a:solidFill>
              <a:ln w="22225">
                <a:noFill/>
              </a:ln>
              <a:effectLst/>
            </c:spPr>
          </c:marker>
          <c:val>
            <c:numRef>
              <c:f>'19.D'!$R$11:$W$11</c:f>
              <c:numCache>
                <c:formatCode>0</c:formatCode>
                <c:ptCount val="6"/>
              </c:numCache>
            </c:numRef>
          </c:val>
          <c:smooth val="0"/>
          <c:extLst>
            <c:ext xmlns:c16="http://schemas.microsoft.com/office/drawing/2014/chart" uri="{C3380CC4-5D6E-409C-BE32-E72D297353CC}">
              <c16:uniqueId val="{00000004-D6AA-44E4-969C-3A573A7F3F81}"/>
            </c:ext>
          </c:extLst>
        </c:ser>
        <c:dLbls>
          <c:showLegendKey val="0"/>
          <c:showVal val="0"/>
          <c:showCatName val="0"/>
          <c:showSerName val="0"/>
          <c:showPercent val="0"/>
          <c:showBubbleSize val="0"/>
        </c:dLbls>
        <c:marker val="1"/>
        <c:smooth val="0"/>
        <c:axId val="130604783"/>
        <c:axId val="130604303"/>
      </c:lineChart>
      <c:catAx>
        <c:axId val="13060910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30605263"/>
        <c:crosses val="autoZero"/>
        <c:auto val="1"/>
        <c:lblAlgn val="ctr"/>
        <c:lblOffset val="100"/>
        <c:noMultiLvlLbl val="0"/>
      </c:catAx>
      <c:valAx>
        <c:axId val="1306052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0609103"/>
        <c:crosses val="autoZero"/>
        <c:crossBetween val="between"/>
        <c:majorUnit val="20000"/>
      </c:valAx>
      <c:valAx>
        <c:axId val="130604303"/>
        <c:scaling>
          <c:orientation val="minMax"/>
          <c:max val="40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0604783"/>
        <c:crosses val="max"/>
        <c:crossBetween val="between"/>
        <c:majorUnit val="1000"/>
      </c:valAx>
      <c:catAx>
        <c:axId val="130604783"/>
        <c:scaling>
          <c:orientation val="minMax"/>
        </c:scaling>
        <c:delete val="1"/>
        <c:axPos val="b"/>
        <c:numFmt formatCode="General" sourceLinked="1"/>
        <c:majorTickMark val="out"/>
        <c:minorTickMark val="none"/>
        <c:tickLblPos val="nextTo"/>
        <c:crossAx val="130604303"/>
        <c:crosses val="autoZero"/>
        <c:auto val="1"/>
        <c:lblAlgn val="ctr"/>
        <c:lblOffset val="100"/>
        <c:noMultiLvlLbl val="0"/>
      </c:catAx>
      <c:spPr>
        <a:noFill/>
        <a:ln>
          <a:noFill/>
        </a:ln>
        <a:effectLst/>
      </c:spPr>
    </c:plotArea>
    <c:legend>
      <c:legendPos val="t"/>
      <c:legendEntry>
        <c:idx val="1"/>
        <c:delete val="1"/>
      </c:legendEntry>
      <c:legendEntry>
        <c:idx val="3"/>
        <c:delete val="1"/>
      </c:legendEntry>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26307</xdr:rowOff>
    </xdr:from>
    <xdr:to>
      <xdr:col>15</xdr:col>
      <xdr:colOff>27214</xdr:colOff>
      <xdr:row>31</xdr:row>
      <xdr:rowOff>80736</xdr:rowOff>
    </xdr:to>
    <xdr:graphicFrame macro="">
      <xdr:nvGraphicFramePr>
        <xdr:cNvPr id="3" name="Chart 3">
          <a:extLst>
            <a:ext uri="{FF2B5EF4-FFF2-40B4-BE49-F238E27FC236}">
              <a16:creationId xmlns:a16="http://schemas.microsoft.com/office/drawing/2014/main" id="{54BD82FA-C5EC-4C71-8131-03B5E3B5A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0.00552</cdr:x>
      <cdr:y>0.00734</cdr:y>
    </cdr:from>
    <cdr:to>
      <cdr:x>0.55578</cdr:x>
      <cdr:y>0.11576</cdr:y>
    </cdr:to>
    <cdr:sp macro="" textlink="">
      <cdr:nvSpPr>
        <cdr:cNvPr id="2" name="TextBox 1">
          <a:extLst xmlns:a="http://schemas.openxmlformats.org/drawingml/2006/main">
            <a:ext uri="{FF2B5EF4-FFF2-40B4-BE49-F238E27FC236}">
              <a16:creationId xmlns:a16="http://schemas.microsoft.com/office/drawing/2014/main" id="{49A21D84-74F4-CA86-CDF9-1030F8477B7D}"/>
            </a:ext>
          </a:extLst>
        </cdr:cNvPr>
        <cdr:cNvSpPr txBox="1"/>
      </cdr:nvSpPr>
      <cdr:spPr>
        <a:xfrm xmlns:a="http://schemas.openxmlformats.org/drawingml/2006/main">
          <a:off x="47082" y="51574"/>
          <a:ext cx="4693405" cy="76177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 Dec 2024 = 100</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317499</xdr:rowOff>
    </xdr:from>
    <xdr:to>
      <xdr:col>15</xdr:col>
      <xdr:colOff>27214</xdr:colOff>
      <xdr:row>31</xdr:row>
      <xdr:rowOff>54428</xdr:rowOff>
    </xdr:to>
    <xdr:graphicFrame macro="">
      <xdr:nvGraphicFramePr>
        <xdr:cNvPr id="3" name="Chart 2">
          <a:extLst>
            <a:ext uri="{FF2B5EF4-FFF2-40B4-BE49-F238E27FC236}">
              <a16:creationId xmlns:a16="http://schemas.microsoft.com/office/drawing/2014/main" id="{45D0E04C-9762-4D85-B690-F099B9F89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0.00552</cdr:x>
      <cdr:y>0.00735</cdr:y>
    </cdr:from>
    <cdr:to>
      <cdr:x>0.55667</cdr:x>
      <cdr:y>0.1281</cdr:y>
    </cdr:to>
    <cdr:sp macro="" textlink="">
      <cdr:nvSpPr>
        <cdr:cNvPr id="2" name="TextBox 1">
          <a:extLst xmlns:a="http://schemas.openxmlformats.org/drawingml/2006/main">
            <a:ext uri="{FF2B5EF4-FFF2-40B4-BE49-F238E27FC236}">
              <a16:creationId xmlns:a16="http://schemas.microsoft.com/office/drawing/2014/main" id="{A2F83009-1330-6F67-AE39-B3ED5F1D7C61}"/>
            </a:ext>
          </a:extLst>
        </cdr:cNvPr>
        <cdr:cNvSpPr txBox="1"/>
      </cdr:nvSpPr>
      <cdr:spPr>
        <a:xfrm xmlns:a="http://schemas.openxmlformats.org/drawingml/2006/main">
          <a:off x="50834" y="50800"/>
          <a:ext cx="5079965" cy="83502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 100 = Dec</a:t>
          </a:r>
          <a:r>
            <a:rPr lang="en-US" sz="3200" kern="1200" baseline="0">
              <a:latin typeface="Arial" panose="020B0604020202020204" pitchFamily="34" charset="0"/>
            </a:rPr>
            <a:t> 2024</a:t>
          </a:r>
          <a:endParaRPr lang="en-US" sz="3200" kern="1200">
            <a:latin typeface="Arial" panose="020B0604020202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340177</xdr:rowOff>
    </xdr:from>
    <xdr:to>
      <xdr:col>14</xdr:col>
      <xdr:colOff>571500</xdr:colOff>
      <xdr:row>31</xdr:row>
      <xdr:rowOff>204106</xdr:rowOff>
    </xdr:to>
    <xdr:graphicFrame macro="">
      <xdr:nvGraphicFramePr>
        <xdr:cNvPr id="3" name="Chart 2">
          <a:extLst>
            <a:ext uri="{FF2B5EF4-FFF2-40B4-BE49-F238E27FC236}">
              <a16:creationId xmlns:a16="http://schemas.microsoft.com/office/drawing/2014/main" id="{29502133-FD5C-4620-85D0-3194F9412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EF057BB5-C77F-FEED-7DC1-4EF61BA494CC}"/>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571500</xdr:colOff>
      <xdr:row>30</xdr:row>
      <xdr:rowOff>149679</xdr:rowOff>
    </xdr:to>
    <xdr:graphicFrame macro="">
      <xdr:nvGraphicFramePr>
        <xdr:cNvPr id="3" name="Chart 2">
          <a:extLst>
            <a:ext uri="{FF2B5EF4-FFF2-40B4-BE49-F238E27FC236}">
              <a16:creationId xmlns:a16="http://schemas.microsoft.com/office/drawing/2014/main" id="{5DC68601-D9BF-489F-A5B0-817DC7625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0.00552</cdr:x>
      <cdr:y>0.00734</cdr:y>
    </cdr:from>
    <cdr:to>
      <cdr:x>0.19855</cdr:x>
      <cdr:y>0.0891</cdr:y>
    </cdr:to>
    <cdr:sp macro="" textlink="">
      <cdr:nvSpPr>
        <cdr:cNvPr id="2" name="TextBox 1">
          <a:extLst xmlns:a="http://schemas.openxmlformats.org/drawingml/2006/main">
            <a:ext uri="{FF2B5EF4-FFF2-40B4-BE49-F238E27FC236}">
              <a16:creationId xmlns:a16="http://schemas.microsoft.com/office/drawing/2014/main" id="{B70E5021-5160-F9FB-1055-71A3B6F647B6}"/>
            </a:ext>
          </a:extLst>
        </cdr:cNvPr>
        <cdr:cNvSpPr txBox="1"/>
      </cdr:nvSpPr>
      <cdr:spPr>
        <a:xfrm xmlns:a="http://schemas.openxmlformats.org/drawingml/2006/main">
          <a:off x="50785" y="50814"/>
          <a:ext cx="1777475" cy="56604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US$/mt</a:t>
          </a:r>
        </a:p>
      </cdr:txBody>
    </cdr:sp>
  </cdr:relSizeAnchor>
  <cdr:relSizeAnchor xmlns:cdr="http://schemas.openxmlformats.org/drawingml/2006/chartDrawing">
    <cdr:from>
      <cdr:x>0.80696</cdr:x>
      <cdr:y>0</cdr:y>
    </cdr:from>
    <cdr:to>
      <cdr:x>1</cdr:x>
      <cdr:y>0.08176</cdr:y>
    </cdr:to>
    <cdr:sp macro="" textlink="">
      <cdr:nvSpPr>
        <cdr:cNvPr id="3" name="TextBox 1">
          <a:extLst xmlns:a="http://schemas.openxmlformats.org/drawingml/2006/main">
            <a:ext uri="{FF2B5EF4-FFF2-40B4-BE49-F238E27FC236}">
              <a16:creationId xmlns:a16="http://schemas.microsoft.com/office/drawing/2014/main" id="{4CAC5CF9-1CE1-9528-D5B7-D307550FB54F}"/>
            </a:ext>
          </a:extLst>
        </cdr:cNvPr>
        <cdr:cNvSpPr txBox="1"/>
      </cdr:nvSpPr>
      <cdr:spPr>
        <a:xfrm xmlns:a="http://schemas.openxmlformats.org/drawingml/2006/main">
          <a:off x="7430478" y="0"/>
          <a:ext cx="1777475" cy="56604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rPr>
            <a:t>US$/mt</a:t>
          </a:r>
        </a:p>
      </cdr:txBody>
    </cdr:sp>
  </cdr:relSizeAnchor>
</c:userShapes>
</file>

<file path=xl/theme/theme1.xml><?xml version="1.0" encoding="utf-8"?>
<a:theme xmlns:a="http://schemas.openxmlformats.org/drawingml/2006/main" name="Office Theme">
  <a:themeElements>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B36-C4F5-435A-8AC9-15CBC6CB74C2}">
  <sheetPr>
    <tabColor rgb="FFFF0000"/>
  </sheetPr>
  <dimension ref="A1:F8"/>
  <sheetViews>
    <sheetView tabSelected="1" zoomScale="70" zoomScaleNormal="70" workbookViewId="0"/>
  </sheetViews>
  <sheetFormatPr defaultRowHeight="14.5"/>
  <cols>
    <col min="1" max="1" width="68.7265625" customWidth="1"/>
    <col min="17" max="17" width="10.26953125" bestFit="1" customWidth="1"/>
    <col min="18" max="19" width="9.81640625" bestFit="1" customWidth="1"/>
    <col min="20" max="20" width="9.26953125" bestFit="1" customWidth="1"/>
  </cols>
  <sheetData>
    <row r="1" spans="1:6" ht="18">
      <c r="A1" s="17" t="s">
        <v>28</v>
      </c>
    </row>
    <row r="2" spans="1:6" ht="17.5">
      <c r="A2" s="7" t="str">
        <f>'19.A.'!A1</f>
        <v>Figure 19.A. Base metals and iron ore prices</v>
      </c>
      <c r="B2" s="4"/>
      <c r="C2" s="4"/>
      <c r="D2" s="4"/>
      <c r="E2" s="4"/>
      <c r="F2" s="4"/>
    </row>
    <row r="3" spans="1:6" ht="17.5">
      <c r="A3" s="7" t="str">
        <f>'19.B.'!A1</f>
        <v>Figure 19.B. Aluminum and copper prices</v>
      </c>
      <c r="B3" s="4"/>
      <c r="C3" s="4"/>
      <c r="D3" s="4"/>
      <c r="E3" s="4"/>
      <c r="F3" s="4"/>
    </row>
    <row r="4" spans="1:6" ht="17.5">
      <c r="A4" s="7" t="str">
        <f>'19.C.'!A1</f>
        <v>Figure 19.C. Base metals production growth, 2025</v>
      </c>
      <c r="B4" s="4"/>
      <c r="C4" s="4"/>
      <c r="D4" s="4"/>
      <c r="E4" s="4"/>
      <c r="F4" s="4"/>
    </row>
    <row r="5" spans="1:6" ht="17.5">
      <c r="A5" s="7" t="str">
        <f>'19.D'!A1</f>
        <v>Figure 19.D. Base metal price forecasts for 2026</v>
      </c>
      <c r="B5" s="4"/>
      <c r="C5" s="4"/>
      <c r="D5" s="4"/>
      <c r="E5" s="4"/>
      <c r="F5" s="4"/>
    </row>
    <row r="6" spans="1:6" ht="17.5">
      <c r="A6" s="4"/>
      <c r="B6" s="4"/>
      <c r="C6" s="4"/>
      <c r="D6" s="4"/>
      <c r="E6" s="4"/>
      <c r="F6" s="4"/>
    </row>
    <row r="7" spans="1:6" ht="17.5">
      <c r="A7" s="4"/>
      <c r="B7" s="4"/>
      <c r="C7" s="4"/>
      <c r="D7" s="4"/>
      <c r="E7" s="4"/>
      <c r="F7" s="4"/>
    </row>
    <row r="8" spans="1:6" ht="17.5">
      <c r="A8" s="4"/>
      <c r="B8" s="4"/>
      <c r="C8" s="4"/>
      <c r="D8" s="4"/>
      <c r="E8" s="4"/>
      <c r="F8" s="4"/>
    </row>
  </sheetData>
  <hyperlinks>
    <hyperlink ref="A2" location="'19.A.'!A1" display="'19.A.'!A1" xr:uid="{3924F320-1F88-4428-A674-DA6E6E86CFB6}"/>
    <hyperlink ref="A3" location="'19.B.'!A1" display="'19.B.'!A1" xr:uid="{1252A951-7371-49F2-A48B-E2BFD09AEE62}"/>
    <hyperlink ref="A4" location="'19.C.'!A1" display="'19.C.'!A1" xr:uid="{0F61AC4A-9978-497A-944E-C4A2A7C53C0C}"/>
    <hyperlink ref="A5" location="'19.D'!A1" display="'19.D'!A1" xr:uid="{CC2DA045-2E1E-4210-9238-70FAEEA5006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AA94-469A-4E95-9C86-FE8ADB49699C}">
  <dimension ref="A1:T89"/>
  <sheetViews>
    <sheetView zoomScale="70" zoomScaleNormal="70" workbookViewId="0">
      <selection activeCell="AE9" sqref="AE9"/>
    </sheetView>
  </sheetViews>
  <sheetFormatPr defaultRowHeight="14.5"/>
  <cols>
    <col min="17" max="17" width="10.26953125" bestFit="1" customWidth="1"/>
    <col min="18" max="18" width="16.453125" bestFit="1" customWidth="1"/>
    <col min="19" max="19" width="11.453125" bestFit="1" customWidth="1"/>
    <col min="20" max="20" width="9.26953125" bestFit="1" customWidth="1"/>
  </cols>
  <sheetData>
    <row r="1" spans="1:20" ht="25">
      <c r="A1" s="5" t="s">
        <v>2</v>
      </c>
      <c r="Q1" s="4"/>
      <c r="R1" s="2"/>
      <c r="S1" s="2"/>
      <c r="T1" s="4"/>
    </row>
    <row r="2" spans="1:20" ht="17.5">
      <c r="Q2" s="4"/>
      <c r="R2" s="2" t="s">
        <v>0</v>
      </c>
      <c r="S2" s="2" t="s">
        <v>1</v>
      </c>
      <c r="T2" s="4" t="s">
        <v>3</v>
      </c>
    </row>
    <row r="3" spans="1:20" ht="17.5">
      <c r="M3" s="1"/>
      <c r="Q3" s="3">
        <v>43466</v>
      </c>
      <c r="R3" s="14">
        <v>71.099999999999994</v>
      </c>
      <c r="S3" s="14">
        <v>74.5</v>
      </c>
      <c r="T3" s="4">
        <v>100</v>
      </c>
    </row>
    <row r="4" spans="1:20" ht="17.5">
      <c r="Q4" s="3">
        <v>43497</v>
      </c>
      <c r="R4" s="14">
        <v>74.099999999999994</v>
      </c>
      <c r="S4" s="14">
        <v>86.3</v>
      </c>
      <c r="T4" s="4">
        <v>100</v>
      </c>
    </row>
    <row r="5" spans="1:20" ht="17.5">
      <c r="Q5" s="3">
        <v>43525</v>
      </c>
      <c r="R5" s="14">
        <v>75.400000000000006</v>
      </c>
      <c r="S5" s="14">
        <v>84.6</v>
      </c>
      <c r="T5" s="4">
        <v>100</v>
      </c>
    </row>
    <row r="6" spans="1:20" ht="17.5">
      <c r="Q6" s="3">
        <v>43556</v>
      </c>
      <c r="R6" s="14">
        <v>74.900000000000006</v>
      </c>
      <c r="S6" s="14">
        <v>91.7</v>
      </c>
      <c r="T6" s="4">
        <v>100</v>
      </c>
    </row>
    <row r="7" spans="1:20" ht="17.5">
      <c r="Q7" s="3">
        <v>43586</v>
      </c>
      <c r="R7" s="14">
        <v>70.8</v>
      </c>
      <c r="S7" s="14">
        <v>98</v>
      </c>
      <c r="T7" s="4">
        <v>100</v>
      </c>
    </row>
    <row r="8" spans="1:20" ht="17.5">
      <c r="Q8" s="3">
        <v>43617</v>
      </c>
      <c r="R8" s="14">
        <v>69.5</v>
      </c>
      <c r="S8" s="14">
        <v>106.6</v>
      </c>
      <c r="T8" s="4">
        <v>100</v>
      </c>
    </row>
    <row r="9" spans="1:20" ht="17.5">
      <c r="Q9" s="3">
        <v>43647</v>
      </c>
      <c r="R9" s="14">
        <v>70.599999999999994</v>
      </c>
      <c r="S9" s="14">
        <v>117.6</v>
      </c>
      <c r="T9" s="4">
        <v>100</v>
      </c>
    </row>
    <row r="10" spans="1:20" ht="17.5">
      <c r="Q10" s="3">
        <v>43678</v>
      </c>
      <c r="R10" s="14">
        <v>69</v>
      </c>
      <c r="S10" s="14">
        <v>91.1</v>
      </c>
      <c r="T10" s="4">
        <v>100</v>
      </c>
    </row>
    <row r="11" spans="1:20" ht="17.5">
      <c r="Q11" s="3">
        <v>43709</v>
      </c>
      <c r="R11" s="14">
        <v>70.400000000000006</v>
      </c>
      <c r="S11" s="14">
        <v>91.1</v>
      </c>
      <c r="T11" s="4">
        <v>100</v>
      </c>
    </row>
    <row r="12" spans="1:20" ht="17.5">
      <c r="Q12" s="3">
        <v>43739</v>
      </c>
      <c r="R12" s="14">
        <v>70.099999999999994</v>
      </c>
      <c r="S12" s="14">
        <v>86.6</v>
      </c>
      <c r="T12" s="4">
        <v>100</v>
      </c>
    </row>
    <row r="13" spans="1:20" ht="17.5">
      <c r="Q13" s="3">
        <v>43770</v>
      </c>
      <c r="R13" s="14">
        <v>70.3</v>
      </c>
      <c r="S13" s="14">
        <v>83.1</v>
      </c>
      <c r="T13" s="4">
        <v>100</v>
      </c>
    </row>
    <row r="14" spans="1:20" ht="17.5">
      <c r="Q14" s="3">
        <v>43800</v>
      </c>
      <c r="R14" s="14">
        <v>70.599999999999994</v>
      </c>
      <c r="S14" s="14">
        <v>90.6</v>
      </c>
      <c r="T14" s="4">
        <v>100</v>
      </c>
    </row>
    <row r="15" spans="1:20" ht="17.5">
      <c r="Q15" s="3">
        <v>43831</v>
      </c>
      <c r="R15" s="14">
        <v>70.400000000000006</v>
      </c>
      <c r="S15" s="14">
        <v>93.7</v>
      </c>
      <c r="T15" s="4">
        <v>100</v>
      </c>
    </row>
    <row r="16" spans="1:20" ht="17.5">
      <c r="Q16" s="3">
        <v>43862</v>
      </c>
      <c r="R16" s="14">
        <v>66.5</v>
      </c>
      <c r="S16" s="14">
        <v>85.8</v>
      </c>
      <c r="T16" s="4">
        <v>100</v>
      </c>
    </row>
    <row r="17" spans="17:20" ht="17.5">
      <c r="Q17" s="3">
        <v>43891</v>
      </c>
      <c r="R17" s="14">
        <v>61.7</v>
      </c>
      <c r="S17" s="14">
        <v>87.1</v>
      </c>
      <c r="T17" s="4">
        <v>100</v>
      </c>
    </row>
    <row r="18" spans="17:20" ht="17.5">
      <c r="Q18" s="3">
        <v>43922</v>
      </c>
      <c r="R18" s="14">
        <v>58.9</v>
      </c>
      <c r="S18" s="14">
        <v>82.9</v>
      </c>
      <c r="T18" s="4">
        <v>100</v>
      </c>
    </row>
    <row r="19" spans="17:20" ht="17.5">
      <c r="Q19" s="3">
        <v>43952</v>
      </c>
      <c r="R19" s="14">
        <v>60.3</v>
      </c>
      <c r="S19" s="14">
        <v>91.6</v>
      </c>
      <c r="T19" s="4">
        <v>100</v>
      </c>
    </row>
    <row r="20" spans="17:20" ht="17.5">
      <c r="Q20" s="3">
        <v>43983</v>
      </c>
      <c r="R20" s="14">
        <v>65</v>
      </c>
      <c r="S20" s="14">
        <v>101.1</v>
      </c>
      <c r="T20" s="4">
        <v>100</v>
      </c>
    </row>
    <row r="21" spans="17:20" ht="17.5">
      <c r="Q21" s="3">
        <v>44013</v>
      </c>
      <c r="R21" s="14">
        <v>70.2</v>
      </c>
      <c r="S21" s="14">
        <v>106.2</v>
      </c>
      <c r="T21" s="4">
        <v>100</v>
      </c>
    </row>
    <row r="22" spans="17:20" ht="17.5">
      <c r="Q22" s="3">
        <v>44044</v>
      </c>
      <c r="R22" s="14">
        <v>73.099999999999994</v>
      </c>
      <c r="S22" s="14">
        <v>118.5</v>
      </c>
      <c r="T22" s="4">
        <v>100</v>
      </c>
    </row>
    <row r="23" spans="17:20" ht="17.5">
      <c r="Q23" s="3">
        <v>44075</v>
      </c>
      <c r="R23" s="14">
        <v>74.5</v>
      </c>
      <c r="S23" s="14">
        <v>121.1</v>
      </c>
      <c r="T23" s="4">
        <v>100</v>
      </c>
    </row>
    <row r="24" spans="17:20" ht="17.5">
      <c r="Q24" s="3">
        <v>44105</v>
      </c>
      <c r="R24" s="14">
        <v>75.5</v>
      </c>
      <c r="S24" s="14">
        <v>117.2</v>
      </c>
      <c r="T24" s="4">
        <v>100</v>
      </c>
    </row>
    <row r="25" spans="17:20" ht="17.5">
      <c r="Q25" s="3">
        <v>44136</v>
      </c>
      <c r="R25" s="14">
        <v>80</v>
      </c>
      <c r="S25" s="14">
        <v>121.7</v>
      </c>
      <c r="T25" s="4">
        <v>100</v>
      </c>
    </row>
    <row r="26" spans="17:20" ht="17.5">
      <c r="Q26" s="3">
        <v>44166</v>
      </c>
      <c r="R26" s="14">
        <v>85.8</v>
      </c>
      <c r="S26" s="14">
        <v>152.1</v>
      </c>
      <c r="T26" s="4">
        <v>100</v>
      </c>
    </row>
    <row r="27" spans="17:20" ht="17.5">
      <c r="Q27" s="3">
        <v>44197</v>
      </c>
      <c r="R27" s="14">
        <v>87.2</v>
      </c>
      <c r="S27" s="14">
        <v>166</v>
      </c>
      <c r="T27" s="4">
        <v>100</v>
      </c>
    </row>
    <row r="28" spans="17:20" ht="17.5">
      <c r="Q28" s="3">
        <v>44228</v>
      </c>
      <c r="R28" s="14">
        <v>91.9</v>
      </c>
      <c r="S28" s="14">
        <v>160.30000000000001</v>
      </c>
      <c r="T28" s="4">
        <v>100</v>
      </c>
    </row>
    <row r="29" spans="17:20" ht="17.5">
      <c r="Q29" s="3">
        <v>44256</v>
      </c>
      <c r="R29" s="14">
        <v>95.4</v>
      </c>
      <c r="S29" s="14">
        <v>164.5</v>
      </c>
      <c r="T29" s="4">
        <v>100</v>
      </c>
    </row>
    <row r="30" spans="17:20" ht="17.5">
      <c r="Q30" s="3">
        <v>44287</v>
      </c>
      <c r="R30" s="14">
        <v>99.3</v>
      </c>
      <c r="S30" s="14">
        <v>175.9</v>
      </c>
      <c r="T30" s="4">
        <v>100</v>
      </c>
    </row>
    <row r="31" spans="17:20" ht="17.5">
      <c r="Q31" s="3">
        <v>44317</v>
      </c>
      <c r="R31" s="14">
        <v>106.7</v>
      </c>
      <c r="S31" s="14">
        <v>203.2</v>
      </c>
      <c r="T31" s="4">
        <v>100</v>
      </c>
    </row>
    <row r="32" spans="17:20" ht="17.5">
      <c r="Q32" s="3">
        <v>44348</v>
      </c>
      <c r="R32" s="14">
        <v>104.1</v>
      </c>
      <c r="S32" s="14">
        <v>209.8</v>
      </c>
      <c r="T32" s="4">
        <v>100</v>
      </c>
    </row>
    <row r="33" spans="1:20" ht="17.5">
      <c r="Q33" s="3">
        <v>44378</v>
      </c>
      <c r="R33" s="14">
        <v>104.4</v>
      </c>
      <c r="S33" s="14">
        <v>209.5</v>
      </c>
      <c r="T33" s="4">
        <v>100</v>
      </c>
    </row>
    <row r="34" spans="1:20" ht="17.5">
      <c r="A34" s="22" t="s">
        <v>31</v>
      </c>
      <c r="Q34" s="3">
        <v>44409</v>
      </c>
      <c r="R34" s="14">
        <v>105.8</v>
      </c>
      <c r="S34" s="14">
        <v>158.69999999999999</v>
      </c>
      <c r="T34" s="4">
        <v>100</v>
      </c>
    </row>
    <row r="35" spans="1:20" ht="17.5">
      <c r="A35" s="4" t="s">
        <v>5</v>
      </c>
      <c r="Q35" s="3">
        <v>44440</v>
      </c>
      <c r="R35" s="14">
        <v>108.6</v>
      </c>
      <c r="S35" s="14">
        <v>121.8</v>
      </c>
      <c r="T35" s="4">
        <v>100</v>
      </c>
    </row>
    <row r="36" spans="1:20" ht="17.5">
      <c r="Q36" s="3">
        <v>44470</v>
      </c>
      <c r="R36" s="14">
        <v>113.8</v>
      </c>
      <c r="S36" s="14">
        <v>120.3</v>
      </c>
      <c r="T36" s="4">
        <v>100</v>
      </c>
    </row>
    <row r="37" spans="1:20" ht="17.5">
      <c r="A37" s="13" t="s">
        <v>6</v>
      </c>
      <c r="Q37" s="3">
        <v>44501</v>
      </c>
      <c r="R37" s="14">
        <v>109.5</v>
      </c>
      <c r="S37" s="14">
        <v>94.2</v>
      </c>
      <c r="T37" s="4">
        <v>100</v>
      </c>
    </row>
    <row r="38" spans="1:20" ht="17.5">
      <c r="Q38" s="3">
        <v>44531</v>
      </c>
      <c r="R38" s="14">
        <v>109.6</v>
      </c>
      <c r="S38" s="14">
        <v>114.4</v>
      </c>
      <c r="T38" s="4">
        <v>100</v>
      </c>
    </row>
    <row r="39" spans="1:20" ht="17.5">
      <c r="Q39" s="3">
        <v>44562</v>
      </c>
      <c r="R39" s="14">
        <v>116.6</v>
      </c>
      <c r="S39" s="14">
        <v>129.69999999999999</v>
      </c>
      <c r="T39" s="4">
        <v>100</v>
      </c>
    </row>
    <row r="40" spans="1:20" ht="17.5">
      <c r="Q40" s="3">
        <v>44593</v>
      </c>
      <c r="R40" s="14">
        <v>121.5</v>
      </c>
      <c r="S40" s="14">
        <v>139.80000000000001</v>
      </c>
      <c r="T40" s="4">
        <v>100</v>
      </c>
    </row>
    <row r="41" spans="1:20" ht="17.5">
      <c r="Q41" s="3">
        <v>44621</v>
      </c>
      <c r="R41" s="14">
        <v>131.19999999999999</v>
      </c>
      <c r="S41" s="14">
        <v>148.80000000000001</v>
      </c>
      <c r="T41" s="4">
        <v>100</v>
      </c>
    </row>
    <row r="42" spans="1:20" ht="17.5">
      <c r="Q42" s="3">
        <v>44652</v>
      </c>
      <c r="R42" s="14">
        <v>127.8</v>
      </c>
      <c r="S42" s="14">
        <v>148</v>
      </c>
      <c r="T42" s="4">
        <v>100</v>
      </c>
    </row>
    <row r="43" spans="1:20" ht="17.5">
      <c r="Q43" s="3">
        <v>44682</v>
      </c>
      <c r="R43" s="14">
        <v>113.8</v>
      </c>
      <c r="S43" s="14">
        <v>128.4</v>
      </c>
      <c r="T43" s="4">
        <v>100</v>
      </c>
    </row>
    <row r="44" spans="1:20" ht="17.5">
      <c r="Q44" s="3">
        <v>44713</v>
      </c>
      <c r="R44" s="14">
        <v>106.5</v>
      </c>
      <c r="S44" s="14">
        <v>127.9</v>
      </c>
      <c r="T44" s="4">
        <v>100</v>
      </c>
    </row>
    <row r="45" spans="1:20" ht="17.5">
      <c r="Q45" s="3">
        <v>44743</v>
      </c>
      <c r="R45" s="14">
        <v>92.9</v>
      </c>
      <c r="S45" s="14">
        <v>106.2</v>
      </c>
      <c r="T45" s="4">
        <v>100</v>
      </c>
    </row>
    <row r="46" spans="1:20" ht="17.5">
      <c r="Q46" s="3">
        <v>44774</v>
      </c>
      <c r="R46" s="14">
        <v>96.8</v>
      </c>
      <c r="S46" s="14">
        <v>106.5</v>
      </c>
      <c r="T46" s="4">
        <v>100</v>
      </c>
    </row>
    <row r="47" spans="1:20" ht="17.5">
      <c r="Q47" s="3">
        <v>44805</v>
      </c>
      <c r="R47" s="14">
        <v>91.5</v>
      </c>
      <c r="S47" s="14">
        <v>97.7</v>
      </c>
      <c r="T47" s="4">
        <v>100</v>
      </c>
    </row>
    <row r="48" spans="1:20" ht="17.5">
      <c r="Q48" s="3">
        <v>44835</v>
      </c>
      <c r="R48" s="14">
        <v>90.7</v>
      </c>
      <c r="S48" s="14">
        <v>90.6</v>
      </c>
      <c r="T48" s="4">
        <v>100</v>
      </c>
    </row>
    <row r="49" spans="17:20" ht="17.5">
      <c r="Q49" s="3">
        <v>44866</v>
      </c>
      <c r="R49" s="14">
        <v>95.8</v>
      </c>
      <c r="S49" s="14">
        <v>91.3</v>
      </c>
      <c r="T49" s="4">
        <v>100</v>
      </c>
    </row>
    <row r="50" spans="17:20" ht="17.5">
      <c r="Q50" s="3">
        <v>44896</v>
      </c>
      <c r="R50" s="14">
        <v>100.4</v>
      </c>
      <c r="S50" s="14">
        <v>109.4</v>
      </c>
      <c r="T50" s="4">
        <v>100</v>
      </c>
    </row>
    <row r="51" spans="17:20" ht="17.5">
      <c r="Q51" s="3">
        <v>44927</v>
      </c>
      <c r="R51" s="14">
        <v>105.9</v>
      </c>
      <c r="S51" s="14">
        <v>119.6</v>
      </c>
      <c r="T51" s="4">
        <v>100</v>
      </c>
    </row>
    <row r="52" spans="17:20" ht="17.5">
      <c r="Q52" s="3">
        <v>44958</v>
      </c>
      <c r="R52" s="14">
        <v>103</v>
      </c>
      <c r="S52" s="14">
        <v>124.8</v>
      </c>
      <c r="T52" s="4">
        <v>100</v>
      </c>
    </row>
    <row r="53" spans="17:20" ht="17.5">
      <c r="Q53" s="3">
        <v>44986</v>
      </c>
      <c r="R53" s="14">
        <v>99</v>
      </c>
      <c r="S53" s="14">
        <v>125.6</v>
      </c>
      <c r="T53" s="4">
        <v>100</v>
      </c>
    </row>
    <row r="54" spans="17:20" ht="17.5">
      <c r="Q54" s="3">
        <v>45017</v>
      </c>
      <c r="R54" s="14">
        <v>99.4</v>
      </c>
      <c r="S54" s="14">
        <v>114.9</v>
      </c>
      <c r="T54" s="4">
        <v>100</v>
      </c>
    </row>
    <row r="55" spans="17:20" ht="17.5">
      <c r="Q55" s="3">
        <v>45047</v>
      </c>
      <c r="R55" s="14">
        <v>93.7</v>
      </c>
      <c r="S55" s="14">
        <v>102.9</v>
      </c>
      <c r="T55" s="4">
        <v>100</v>
      </c>
    </row>
    <row r="56" spans="17:20" ht="17.5">
      <c r="Q56" s="3">
        <v>45078</v>
      </c>
      <c r="R56" s="14">
        <v>93.3</v>
      </c>
      <c r="S56" s="14">
        <v>111</v>
      </c>
      <c r="T56" s="4">
        <v>100</v>
      </c>
    </row>
    <row r="57" spans="17:20" ht="17.5">
      <c r="Q57" s="3">
        <v>45108</v>
      </c>
      <c r="R57" s="14">
        <v>93.6</v>
      </c>
      <c r="S57" s="14">
        <v>112</v>
      </c>
      <c r="T57" s="4">
        <v>100</v>
      </c>
    </row>
    <row r="58" spans="17:20" ht="17.5">
      <c r="Q58" s="3">
        <v>45139</v>
      </c>
      <c r="R58" s="14">
        <v>92.1</v>
      </c>
      <c r="S58" s="14">
        <v>107.8</v>
      </c>
      <c r="T58" s="4">
        <v>100</v>
      </c>
    </row>
    <row r="59" spans="17:20" ht="17.5">
      <c r="Q59" s="3">
        <v>45170</v>
      </c>
      <c r="R59" s="14">
        <v>92.2</v>
      </c>
      <c r="S59" s="14">
        <v>118.4</v>
      </c>
      <c r="T59" s="4">
        <v>100</v>
      </c>
    </row>
    <row r="60" spans="17:20" ht="17.5">
      <c r="Q60" s="3">
        <v>45200</v>
      </c>
      <c r="R60" s="14">
        <v>89.6</v>
      </c>
      <c r="S60" s="14">
        <v>116.4</v>
      </c>
      <c r="T60" s="4">
        <v>100</v>
      </c>
    </row>
    <row r="61" spans="17:20" ht="17.5">
      <c r="Q61" s="3">
        <v>45231</v>
      </c>
      <c r="R61" s="14">
        <v>90.8</v>
      </c>
      <c r="S61" s="14">
        <v>128.19999999999999</v>
      </c>
      <c r="T61" s="4">
        <v>100</v>
      </c>
    </row>
    <row r="62" spans="17:20" ht="17.5">
      <c r="Q62" s="3">
        <v>45261</v>
      </c>
      <c r="R62" s="14">
        <v>91.3</v>
      </c>
      <c r="S62" s="14">
        <v>134.1</v>
      </c>
      <c r="T62" s="4">
        <v>100</v>
      </c>
    </row>
    <row r="63" spans="17:20" ht="17.5">
      <c r="Q63" s="3">
        <v>45292</v>
      </c>
      <c r="R63" s="14">
        <v>91.1</v>
      </c>
      <c r="S63" s="14">
        <v>132.9</v>
      </c>
      <c r="T63" s="4">
        <v>100</v>
      </c>
    </row>
    <row r="64" spans="17:20" ht="17.5">
      <c r="Q64" s="3">
        <v>45323</v>
      </c>
      <c r="R64" s="14">
        <v>90.6</v>
      </c>
      <c r="S64" s="14">
        <v>121.7</v>
      </c>
      <c r="T64" s="4">
        <v>100</v>
      </c>
    </row>
    <row r="65" spans="17:20" ht="17.5">
      <c r="Q65" s="3">
        <v>45352</v>
      </c>
      <c r="R65" s="14">
        <v>94.1</v>
      </c>
      <c r="S65" s="14">
        <v>107.4</v>
      </c>
      <c r="T65" s="4">
        <v>100</v>
      </c>
    </row>
    <row r="66" spans="17:20" ht="17.5">
      <c r="Q66" s="3">
        <v>45383</v>
      </c>
      <c r="R66" s="14">
        <v>103.5</v>
      </c>
      <c r="S66" s="14">
        <v>110.3</v>
      </c>
      <c r="T66" s="4">
        <v>100</v>
      </c>
    </row>
    <row r="67" spans="17:20" ht="17.5">
      <c r="Q67" s="3">
        <v>45413</v>
      </c>
      <c r="R67" s="14">
        <v>109.2</v>
      </c>
      <c r="S67" s="14">
        <v>116.3</v>
      </c>
      <c r="T67" s="4">
        <v>100</v>
      </c>
    </row>
    <row r="68" spans="17:20" ht="17.5">
      <c r="Q68" s="3">
        <v>45444</v>
      </c>
      <c r="R68" s="14">
        <v>104.3</v>
      </c>
      <c r="S68" s="14">
        <v>105.1</v>
      </c>
      <c r="T68" s="4">
        <v>100</v>
      </c>
    </row>
    <row r="69" spans="17:20" ht="17.5">
      <c r="Q69" s="3">
        <v>45474</v>
      </c>
      <c r="R69" s="14">
        <v>100.3</v>
      </c>
      <c r="S69" s="14">
        <v>104.5</v>
      </c>
      <c r="T69" s="4">
        <v>100</v>
      </c>
    </row>
    <row r="70" spans="17:20" ht="17.5">
      <c r="Q70" s="3">
        <v>45505</v>
      </c>
      <c r="R70" s="14">
        <v>97.7</v>
      </c>
      <c r="S70" s="14">
        <v>97.7</v>
      </c>
      <c r="T70" s="4">
        <v>100</v>
      </c>
    </row>
    <row r="71" spans="17:20" ht="17.5">
      <c r="Q71" s="3">
        <v>45536</v>
      </c>
      <c r="R71" s="14">
        <v>100.7</v>
      </c>
      <c r="S71" s="14">
        <v>90.8</v>
      </c>
      <c r="T71" s="4">
        <v>100</v>
      </c>
    </row>
    <row r="72" spans="17:20" ht="17.5">
      <c r="Q72" s="3">
        <v>45566</v>
      </c>
      <c r="R72" s="14">
        <v>105.2</v>
      </c>
      <c r="S72" s="14">
        <v>99.2</v>
      </c>
      <c r="T72" s="4">
        <v>100</v>
      </c>
    </row>
    <row r="73" spans="17:20" ht="17.5">
      <c r="Q73" s="3">
        <v>45597</v>
      </c>
      <c r="R73" s="14">
        <v>101.6</v>
      </c>
      <c r="S73" s="14">
        <v>98.3</v>
      </c>
      <c r="T73" s="4">
        <v>100</v>
      </c>
    </row>
    <row r="74" spans="17:20" ht="17.5">
      <c r="Q74" s="3">
        <v>45627</v>
      </c>
      <c r="R74" s="14">
        <v>100</v>
      </c>
      <c r="S74" s="14">
        <v>100</v>
      </c>
      <c r="T74" s="4">
        <v>100</v>
      </c>
    </row>
    <row r="75" spans="17:20" ht="17.5">
      <c r="Q75" s="3">
        <v>45658</v>
      </c>
      <c r="R75" s="14">
        <v>100.4</v>
      </c>
      <c r="S75" s="14">
        <v>97.4</v>
      </c>
      <c r="T75" s="4">
        <v>100</v>
      </c>
    </row>
    <row r="76" spans="17:20" ht="17.5">
      <c r="Q76" s="3">
        <v>45689</v>
      </c>
      <c r="R76" s="14">
        <v>103.6</v>
      </c>
      <c r="S76" s="14">
        <v>102.8</v>
      </c>
      <c r="T76" s="4">
        <v>100</v>
      </c>
    </row>
    <row r="77" spans="17:20" ht="17.5">
      <c r="Q77" s="3">
        <v>45717</v>
      </c>
      <c r="R77" s="14">
        <v>106.6</v>
      </c>
      <c r="S77" s="14">
        <v>97.9</v>
      </c>
      <c r="T77" s="4">
        <v>100</v>
      </c>
    </row>
    <row r="78" spans="17:20" ht="17.5">
      <c r="Q78" s="3">
        <v>45748</v>
      </c>
      <c r="R78" s="14">
        <v>98.6</v>
      </c>
      <c r="S78" s="14">
        <v>95.1</v>
      </c>
      <c r="T78" s="4">
        <v>100</v>
      </c>
    </row>
    <row r="79" spans="17:20" ht="17.5">
      <c r="Q79" s="3">
        <v>45778</v>
      </c>
      <c r="R79" s="14">
        <v>101.7</v>
      </c>
      <c r="S79" s="14">
        <v>94.9</v>
      </c>
      <c r="T79" s="4">
        <v>100</v>
      </c>
    </row>
    <row r="80" spans="17:20" ht="17.5">
      <c r="Q80" s="3">
        <v>45809</v>
      </c>
      <c r="R80" s="14">
        <v>104.3</v>
      </c>
      <c r="S80" s="14">
        <v>90.3</v>
      </c>
      <c r="T80" s="4">
        <v>100</v>
      </c>
    </row>
    <row r="81" spans="17:20" ht="17.5">
      <c r="Q81" s="3">
        <v>45839</v>
      </c>
      <c r="R81" s="14">
        <v>105.4</v>
      </c>
      <c r="S81" s="14">
        <v>95.2</v>
      </c>
      <c r="T81" s="4">
        <v>100</v>
      </c>
    </row>
    <row r="82" spans="17:20" ht="17.5">
      <c r="Q82" s="3">
        <v>45870</v>
      </c>
      <c r="R82" s="14">
        <v>104.7</v>
      </c>
      <c r="S82" s="14">
        <v>97.6</v>
      </c>
      <c r="T82" s="4">
        <v>100</v>
      </c>
    </row>
    <row r="83" spans="17:20" ht="17.5">
      <c r="Q83" s="3">
        <v>45901</v>
      </c>
      <c r="R83" s="14">
        <v>107.6</v>
      </c>
      <c r="S83" s="14">
        <v>101</v>
      </c>
      <c r="T83" s="4">
        <v>100</v>
      </c>
    </row>
    <row r="84" spans="17:20" ht="17.5">
      <c r="Q84" s="3">
        <v>45931</v>
      </c>
      <c r="R84" s="14">
        <v>114.2</v>
      </c>
      <c r="S84" s="14">
        <v>101.3</v>
      </c>
      <c r="T84" s="4">
        <v>100</v>
      </c>
    </row>
    <row r="85" spans="17:20" ht="17.5">
      <c r="Q85" s="3">
        <v>45962</v>
      </c>
      <c r="R85" s="14">
        <v>115</v>
      </c>
      <c r="S85" s="14">
        <v>100.3</v>
      </c>
      <c r="T85" s="4">
        <v>100</v>
      </c>
    </row>
    <row r="86" spans="17:20" ht="17.5">
      <c r="Q86" s="3">
        <v>45992</v>
      </c>
      <c r="R86" s="14">
        <v>121.6</v>
      </c>
      <c r="S86" s="14">
        <v>102.3</v>
      </c>
      <c r="T86" s="4">
        <v>100</v>
      </c>
    </row>
    <row r="87" spans="17:20" ht="17.5">
      <c r="Q87" s="3">
        <v>46023</v>
      </c>
      <c r="R87" s="14">
        <v>134.1</v>
      </c>
      <c r="S87" s="14">
        <v>103.2</v>
      </c>
      <c r="T87" s="4">
        <v>100</v>
      </c>
    </row>
    <row r="88" spans="17:20" ht="17.5">
      <c r="Q88" s="3">
        <v>46054</v>
      </c>
      <c r="R88" s="14">
        <v>132.5</v>
      </c>
      <c r="S88" s="14">
        <v>96.7</v>
      </c>
      <c r="T88" s="4">
        <v>100</v>
      </c>
    </row>
    <row r="89" spans="17:20" ht="17.5">
      <c r="Q89" s="3">
        <v>46082</v>
      </c>
      <c r="R89" s="14">
        <v>133.80000000000001</v>
      </c>
      <c r="S89" s="14">
        <v>102.2</v>
      </c>
      <c r="T89" s="4">
        <v>100</v>
      </c>
    </row>
  </sheetData>
  <hyperlinks>
    <hyperlink ref="A37" location="'Read Me'!A1" display="Return to Read Me" xr:uid="{3DC94489-6A81-4E5A-964B-0E43FBCFB796}"/>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FE14-C4C6-4032-AA92-188E0EBB19D9}">
  <dimension ref="A1:T337"/>
  <sheetViews>
    <sheetView zoomScale="70" zoomScaleNormal="70" workbookViewId="0"/>
  </sheetViews>
  <sheetFormatPr defaultRowHeight="18.5"/>
  <cols>
    <col min="17" max="17" width="15.453125" style="6" bestFit="1" customWidth="1"/>
    <col min="18" max="18" width="13.1796875" style="6" bestFit="1" customWidth="1"/>
    <col min="19" max="19" width="10.453125" style="6" bestFit="1" customWidth="1"/>
    <col min="20" max="20" width="9.26953125" bestFit="1" customWidth="1"/>
  </cols>
  <sheetData>
    <row r="1" spans="1:20" ht="25">
      <c r="A1" s="5" t="s">
        <v>7</v>
      </c>
      <c r="Q1" s="10"/>
      <c r="R1" s="11"/>
      <c r="S1" s="11"/>
      <c r="T1" s="4"/>
    </row>
    <row r="2" spans="1:20" ht="17.5">
      <c r="Q2" s="10"/>
      <c r="R2" s="12" t="s">
        <v>8</v>
      </c>
      <c r="S2" s="12" t="s">
        <v>9</v>
      </c>
      <c r="T2" s="4"/>
    </row>
    <row r="3" spans="1:20" ht="17.5">
      <c r="M3" s="1"/>
      <c r="Q3" s="9">
        <v>45658</v>
      </c>
      <c r="R3" s="8">
        <v>98.1</v>
      </c>
      <c r="S3" s="8">
        <v>98.6</v>
      </c>
      <c r="T3" s="4"/>
    </row>
    <row r="4" spans="1:20" ht="17.5">
      <c r="Q4" s="9">
        <v>45659</v>
      </c>
      <c r="R4" s="8">
        <v>98.6</v>
      </c>
      <c r="S4" s="8">
        <v>97.7</v>
      </c>
      <c r="T4" s="4"/>
    </row>
    <row r="5" spans="1:20" ht="17.5">
      <c r="Q5" s="9">
        <v>45660</v>
      </c>
      <c r="R5" s="8">
        <v>97</v>
      </c>
      <c r="S5" s="8">
        <v>98.6</v>
      </c>
      <c r="T5" s="4"/>
    </row>
    <row r="6" spans="1:20" ht="17.5">
      <c r="Q6" s="9">
        <v>45663</v>
      </c>
      <c r="R6" s="8">
        <v>96.8</v>
      </c>
      <c r="S6" s="8">
        <v>99.9</v>
      </c>
      <c r="T6" s="4"/>
    </row>
    <row r="7" spans="1:20" ht="17.5">
      <c r="Q7" s="9">
        <v>45664</v>
      </c>
      <c r="R7" s="8">
        <v>97.9</v>
      </c>
      <c r="S7" s="8">
        <v>99.9</v>
      </c>
      <c r="T7" s="4"/>
    </row>
    <row r="8" spans="1:20" ht="17.5">
      <c r="Q8" s="9">
        <v>45665</v>
      </c>
      <c r="R8" s="8">
        <v>97.1</v>
      </c>
      <c r="S8" s="8">
        <v>100.3</v>
      </c>
      <c r="T8" s="4"/>
    </row>
    <row r="9" spans="1:20" ht="17.5">
      <c r="Q9" s="9">
        <v>45666</v>
      </c>
      <c r="R9" s="8">
        <v>99.2</v>
      </c>
      <c r="S9" s="8">
        <v>100.9</v>
      </c>
      <c r="T9" s="4"/>
    </row>
    <row r="10" spans="1:20" ht="17.5">
      <c r="Q10" s="9">
        <v>45667</v>
      </c>
      <c r="R10" s="8">
        <v>100.7</v>
      </c>
      <c r="S10" s="8">
        <v>101.1</v>
      </c>
      <c r="T10" s="4"/>
    </row>
    <row r="11" spans="1:20" ht="17.5">
      <c r="Q11" s="9">
        <v>45670</v>
      </c>
      <c r="R11" s="8">
        <v>100.8</v>
      </c>
      <c r="S11" s="8">
        <v>101</v>
      </c>
      <c r="T11" s="4"/>
    </row>
    <row r="12" spans="1:20" ht="17.5">
      <c r="Q12" s="9">
        <v>45671</v>
      </c>
      <c r="R12" s="8">
        <v>100</v>
      </c>
      <c r="S12" s="8">
        <v>101.6</v>
      </c>
      <c r="T12" s="4"/>
    </row>
    <row r="13" spans="1:20" ht="17.5">
      <c r="Q13" s="9">
        <v>45672</v>
      </c>
      <c r="R13" s="8">
        <v>101.9</v>
      </c>
      <c r="S13" s="8">
        <v>101.8</v>
      </c>
      <c r="T13" s="4"/>
    </row>
    <row r="14" spans="1:20" ht="17.5">
      <c r="Q14" s="9">
        <v>45673</v>
      </c>
      <c r="R14" s="8">
        <v>103.3</v>
      </c>
      <c r="S14" s="8">
        <v>102.6</v>
      </c>
      <c r="T14" s="4"/>
    </row>
    <row r="15" spans="1:20" ht="17.5">
      <c r="Q15" s="9">
        <v>45674</v>
      </c>
      <c r="R15" s="8">
        <v>105.2</v>
      </c>
      <c r="S15" s="8">
        <v>102.1</v>
      </c>
      <c r="T15" s="4"/>
    </row>
    <row r="16" spans="1:20" ht="17.5">
      <c r="Q16" s="9">
        <v>45677</v>
      </c>
      <c r="R16" s="8">
        <v>105.6</v>
      </c>
      <c r="S16" s="8">
        <v>103</v>
      </c>
      <c r="T16" s="4"/>
    </row>
    <row r="17" spans="17:20" ht="17.5">
      <c r="Q17" s="9">
        <v>45678</v>
      </c>
      <c r="R17" s="8">
        <v>103.4</v>
      </c>
      <c r="S17" s="8">
        <v>103.1</v>
      </c>
      <c r="T17" s="4"/>
    </row>
    <row r="18" spans="17:20" ht="17.5">
      <c r="Q18" s="9">
        <v>45679</v>
      </c>
      <c r="R18" s="8">
        <v>102.9</v>
      </c>
      <c r="S18" s="8">
        <v>102.4</v>
      </c>
      <c r="T18" s="4"/>
    </row>
    <row r="19" spans="17:20" ht="17.5">
      <c r="Q19" s="9">
        <v>45680</v>
      </c>
      <c r="R19" s="8">
        <v>102.9</v>
      </c>
      <c r="S19" s="8">
        <v>102.5</v>
      </c>
      <c r="T19" s="4"/>
    </row>
    <row r="20" spans="17:20" ht="17.5">
      <c r="Q20" s="9">
        <v>45681</v>
      </c>
      <c r="R20" s="8">
        <v>103.7</v>
      </c>
      <c r="S20" s="8">
        <v>102.9</v>
      </c>
      <c r="T20" s="4"/>
    </row>
    <row r="21" spans="17:20" ht="17.5">
      <c r="Q21" s="9">
        <v>45684</v>
      </c>
      <c r="R21" s="8">
        <v>102</v>
      </c>
      <c r="S21" s="8">
        <v>100.9</v>
      </c>
      <c r="T21" s="4"/>
    </row>
    <row r="22" spans="17:20" ht="17.5">
      <c r="Q22" s="9">
        <v>45685</v>
      </c>
      <c r="R22" s="8">
        <v>100.9</v>
      </c>
      <c r="S22" s="8">
        <v>99.6</v>
      </c>
      <c r="T22" s="4"/>
    </row>
    <row r="23" spans="17:20" ht="17.5">
      <c r="Q23" s="9">
        <v>45686</v>
      </c>
      <c r="R23" s="8">
        <v>102.9</v>
      </c>
      <c r="S23" s="8">
        <v>100.6</v>
      </c>
      <c r="T23" s="4"/>
    </row>
    <row r="24" spans="17:20" ht="17.5">
      <c r="Q24" s="9">
        <v>45687</v>
      </c>
      <c r="R24" s="8">
        <v>103.3</v>
      </c>
      <c r="S24" s="8">
        <v>101.3</v>
      </c>
      <c r="T24" s="4"/>
    </row>
    <row r="25" spans="17:20" ht="17.5">
      <c r="Q25" s="9">
        <v>45688</v>
      </c>
      <c r="R25" s="8">
        <v>102</v>
      </c>
      <c r="S25" s="8">
        <v>100.4</v>
      </c>
      <c r="T25" s="4"/>
    </row>
    <row r="26" spans="17:20" ht="17.5">
      <c r="Q26" s="9">
        <v>45691</v>
      </c>
      <c r="R26" s="8">
        <v>103.5</v>
      </c>
      <c r="S26" s="8">
        <v>100.9</v>
      </c>
      <c r="T26" s="4"/>
    </row>
    <row r="27" spans="17:20" ht="17.5">
      <c r="Q27" s="9">
        <v>45692</v>
      </c>
      <c r="R27" s="8">
        <v>104.2</v>
      </c>
      <c r="S27" s="8">
        <v>101.5</v>
      </c>
      <c r="T27" s="4"/>
    </row>
    <row r="28" spans="17:20" ht="17.5">
      <c r="Q28" s="9">
        <v>45693</v>
      </c>
      <c r="R28" s="8">
        <v>103.1</v>
      </c>
      <c r="S28" s="8">
        <v>102.5</v>
      </c>
      <c r="T28" s="4"/>
    </row>
    <row r="29" spans="17:20" ht="17.5">
      <c r="Q29" s="9">
        <v>45694</v>
      </c>
      <c r="R29" s="8">
        <v>103.3</v>
      </c>
      <c r="S29" s="8">
        <v>102.9</v>
      </c>
      <c r="T29" s="4"/>
    </row>
    <row r="30" spans="17:20" ht="17.5">
      <c r="Q30" s="9">
        <v>45695</v>
      </c>
      <c r="R30" s="8">
        <v>103.6</v>
      </c>
      <c r="S30" s="8">
        <v>104.4</v>
      </c>
      <c r="T30" s="4"/>
    </row>
    <row r="31" spans="17:20" ht="17.5">
      <c r="Q31" s="9">
        <v>45698</v>
      </c>
      <c r="R31" s="8">
        <v>104.9</v>
      </c>
      <c r="S31" s="8">
        <v>104.9</v>
      </c>
      <c r="T31" s="4"/>
    </row>
    <row r="32" spans="17:20" ht="17.5">
      <c r="Q32" s="9">
        <v>45699</v>
      </c>
      <c r="R32" s="8">
        <v>104.2</v>
      </c>
      <c r="S32" s="8">
        <v>103.9</v>
      </c>
      <c r="T32" s="4"/>
    </row>
    <row r="33" spans="1:20" ht="17.5">
      <c r="A33" s="4" t="s">
        <v>4</v>
      </c>
      <c r="Q33" s="9">
        <v>45700</v>
      </c>
      <c r="R33" s="8">
        <v>103.5</v>
      </c>
      <c r="S33" s="8">
        <v>105.1</v>
      </c>
      <c r="T33" s="4"/>
    </row>
    <row r="34" spans="1:20" ht="17.5">
      <c r="A34" s="21" t="s">
        <v>29</v>
      </c>
      <c r="Q34" s="9">
        <v>45701</v>
      </c>
      <c r="R34" s="8">
        <v>103</v>
      </c>
      <c r="S34" s="8">
        <v>106.1</v>
      </c>
      <c r="T34" s="4"/>
    </row>
    <row r="35" spans="1:20" ht="17.5">
      <c r="Q35" s="9">
        <v>45702</v>
      </c>
      <c r="R35" s="8">
        <v>104.8</v>
      </c>
      <c r="S35" s="8">
        <v>106.7</v>
      </c>
      <c r="T35" s="4"/>
    </row>
    <row r="36" spans="1:20" ht="17.5">
      <c r="A36" s="13" t="s">
        <v>6</v>
      </c>
      <c r="Q36" s="9">
        <v>45705</v>
      </c>
      <c r="R36" s="8">
        <v>105.6</v>
      </c>
      <c r="S36" s="8">
        <v>104.8</v>
      </c>
      <c r="T36" s="4"/>
    </row>
    <row r="37" spans="1:20" ht="17.5">
      <c r="Q37" s="9">
        <v>45706</v>
      </c>
      <c r="R37" s="8">
        <v>105.7</v>
      </c>
      <c r="S37" s="8">
        <v>105.7</v>
      </c>
      <c r="T37" s="4"/>
    </row>
    <row r="38" spans="1:20" ht="17.5">
      <c r="Q38" s="9">
        <v>45707</v>
      </c>
      <c r="R38" s="8">
        <v>106.3</v>
      </c>
      <c r="S38" s="8">
        <v>106</v>
      </c>
      <c r="T38" s="4"/>
    </row>
    <row r="39" spans="1:20" ht="17.5">
      <c r="Q39" s="9">
        <v>45708</v>
      </c>
      <c r="R39" s="8">
        <v>107.7</v>
      </c>
      <c r="S39" s="8">
        <v>107.2</v>
      </c>
      <c r="T39" s="4"/>
    </row>
    <row r="40" spans="1:20" ht="17.5">
      <c r="Q40" s="9">
        <v>45709</v>
      </c>
      <c r="R40" s="8">
        <v>106</v>
      </c>
      <c r="S40" s="8">
        <v>107</v>
      </c>
      <c r="T40" s="4"/>
    </row>
    <row r="41" spans="1:20" ht="17.5">
      <c r="Q41" s="9">
        <v>45712</v>
      </c>
      <c r="R41" s="8">
        <v>105</v>
      </c>
      <c r="S41" s="8">
        <v>106.7</v>
      </c>
      <c r="T41" s="4"/>
    </row>
    <row r="42" spans="1:20" ht="17.5">
      <c r="Q42" s="9">
        <v>45713</v>
      </c>
      <c r="R42" s="8">
        <v>104.5</v>
      </c>
      <c r="S42" s="8">
        <v>105.3</v>
      </c>
      <c r="T42" s="4"/>
    </row>
    <row r="43" spans="1:20" ht="17.5">
      <c r="Q43" s="9">
        <v>45714</v>
      </c>
      <c r="R43" s="8">
        <v>104.2</v>
      </c>
      <c r="S43" s="8">
        <v>106.2</v>
      </c>
      <c r="T43" s="4"/>
    </row>
    <row r="44" spans="1:20" ht="17.5">
      <c r="Q44" s="9">
        <v>45715</v>
      </c>
      <c r="R44" s="8">
        <v>104.3</v>
      </c>
      <c r="S44" s="8">
        <v>105.5</v>
      </c>
      <c r="T44" s="4"/>
    </row>
    <row r="45" spans="1:20" ht="17.5">
      <c r="Q45" s="9">
        <v>45716</v>
      </c>
      <c r="R45" s="8">
        <v>103.2</v>
      </c>
      <c r="S45" s="8">
        <v>105</v>
      </c>
      <c r="T45" s="4"/>
    </row>
    <row r="46" spans="1:20" ht="17.5">
      <c r="Q46" s="9">
        <v>45719</v>
      </c>
      <c r="R46" s="8">
        <v>103.2</v>
      </c>
      <c r="S46" s="8">
        <v>105.6</v>
      </c>
      <c r="T46" s="4"/>
    </row>
    <row r="47" spans="1:20" ht="17.5">
      <c r="Q47" s="9">
        <v>45720</v>
      </c>
      <c r="R47" s="8">
        <v>103.4</v>
      </c>
      <c r="S47" s="8">
        <v>104.9</v>
      </c>
      <c r="T47" s="4"/>
    </row>
    <row r="48" spans="1:20" ht="17.5">
      <c r="Q48" s="9">
        <v>45721</v>
      </c>
      <c r="R48" s="8">
        <v>104.9</v>
      </c>
      <c r="S48" s="8">
        <v>107.8</v>
      </c>
      <c r="T48" s="4"/>
    </row>
    <row r="49" spans="17:20" ht="17.5">
      <c r="Q49" s="9">
        <v>45722</v>
      </c>
      <c r="R49" s="8">
        <v>106.6</v>
      </c>
      <c r="S49" s="8">
        <v>109.6</v>
      </c>
      <c r="T49" s="4"/>
    </row>
    <row r="50" spans="17:20" ht="17.5">
      <c r="Q50" s="9">
        <v>45723</v>
      </c>
      <c r="R50" s="8">
        <v>107.1</v>
      </c>
      <c r="S50" s="8">
        <v>108</v>
      </c>
      <c r="T50" s="4"/>
    </row>
    <row r="51" spans="17:20" ht="17.5">
      <c r="Q51" s="9">
        <v>45726</v>
      </c>
      <c r="R51" s="8">
        <v>106.6</v>
      </c>
      <c r="S51" s="8">
        <v>106.9</v>
      </c>
      <c r="T51" s="4"/>
    </row>
    <row r="52" spans="17:20" ht="17.5">
      <c r="Q52" s="9">
        <v>45727</v>
      </c>
      <c r="R52" s="8">
        <v>107</v>
      </c>
      <c r="S52" s="8">
        <v>108.4</v>
      </c>
      <c r="T52" s="4"/>
    </row>
    <row r="53" spans="17:20" ht="17.5">
      <c r="Q53" s="9">
        <v>45728</v>
      </c>
      <c r="R53" s="8">
        <v>106.9</v>
      </c>
      <c r="S53" s="8">
        <v>109.6</v>
      </c>
      <c r="T53" s="4"/>
    </row>
    <row r="54" spans="17:20" ht="17.5">
      <c r="Q54" s="9">
        <v>45729</v>
      </c>
      <c r="R54" s="8">
        <v>107.1</v>
      </c>
      <c r="S54" s="8">
        <v>109.6</v>
      </c>
      <c r="T54" s="4"/>
    </row>
    <row r="55" spans="17:20" ht="17.5">
      <c r="Q55" s="9">
        <v>45730</v>
      </c>
      <c r="R55" s="8">
        <v>106.3</v>
      </c>
      <c r="S55" s="8">
        <v>109.4</v>
      </c>
      <c r="T55" s="4"/>
    </row>
    <row r="56" spans="17:20" ht="17.5">
      <c r="Q56" s="9">
        <v>45733</v>
      </c>
      <c r="R56" s="8">
        <v>106.4</v>
      </c>
      <c r="S56" s="8">
        <v>110.2</v>
      </c>
      <c r="T56" s="4"/>
    </row>
    <row r="57" spans="17:20" ht="17.5">
      <c r="Q57" s="9">
        <v>45734</v>
      </c>
      <c r="R57" s="8">
        <v>105</v>
      </c>
      <c r="S57" s="8">
        <v>110.8</v>
      </c>
      <c r="T57" s="4"/>
    </row>
    <row r="58" spans="17:20" ht="17.5">
      <c r="Q58" s="9">
        <v>45735</v>
      </c>
      <c r="R58" s="8">
        <v>105.7</v>
      </c>
      <c r="S58" s="8">
        <v>111.9</v>
      </c>
      <c r="T58" s="4"/>
    </row>
    <row r="59" spans="17:20" ht="17.5">
      <c r="Q59" s="9">
        <v>45736</v>
      </c>
      <c r="R59" s="8">
        <v>105.3</v>
      </c>
      <c r="S59" s="8">
        <v>111.1</v>
      </c>
      <c r="T59" s="4"/>
    </row>
    <row r="60" spans="17:20" ht="17.5">
      <c r="Q60" s="9">
        <v>45737</v>
      </c>
      <c r="R60" s="8">
        <v>103.7</v>
      </c>
      <c r="S60" s="8">
        <v>110.3</v>
      </c>
      <c r="T60" s="4"/>
    </row>
    <row r="61" spans="17:20" ht="17.5">
      <c r="Q61" s="9">
        <v>45740</v>
      </c>
      <c r="R61" s="8">
        <v>103.2</v>
      </c>
      <c r="S61" s="8">
        <v>111.5</v>
      </c>
      <c r="T61" s="4"/>
    </row>
    <row r="62" spans="17:20" ht="17.5">
      <c r="Q62" s="9">
        <v>45741</v>
      </c>
      <c r="R62" s="8">
        <v>101.9</v>
      </c>
      <c r="S62" s="8">
        <v>113.5</v>
      </c>
      <c r="T62" s="4"/>
    </row>
    <row r="63" spans="17:20" ht="17.5">
      <c r="Q63" s="9">
        <v>45742</v>
      </c>
      <c r="R63" s="8">
        <v>101.9</v>
      </c>
      <c r="S63" s="8">
        <v>111.1</v>
      </c>
      <c r="T63" s="4"/>
    </row>
    <row r="64" spans="17:20" ht="17.5">
      <c r="Q64" s="9">
        <v>45743</v>
      </c>
      <c r="R64" s="8">
        <v>100.3</v>
      </c>
      <c r="S64" s="8">
        <v>110.2</v>
      </c>
      <c r="T64" s="4"/>
    </row>
    <row r="65" spans="17:20" ht="17.5">
      <c r="Q65" s="9">
        <v>45744</v>
      </c>
      <c r="R65" s="8">
        <v>99.8</v>
      </c>
      <c r="S65" s="8">
        <v>109.6</v>
      </c>
      <c r="T65" s="4"/>
    </row>
    <row r="66" spans="17:20" ht="17.5">
      <c r="Q66" s="9">
        <v>45747</v>
      </c>
      <c r="R66" s="8">
        <v>99.1</v>
      </c>
      <c r="S66" s="8">
        <v>108.6</v>
      </c>
      <c r="T66" s="4"/>
    </row>
    <row r="67" spans="17:20" ht="17.5">
      <c r="Q67" s="9">
        <v>45748</v>
      </c>
      <c r="R67" s="8">
        <v>97.9</v>
      </c>
      <c r="S67" s="8">
        <v>108.5</v>
      </c>
      <c r="T67" s="4"/>
    </row>
    <row r="68" spans="17:20" ht="17.5">
      <c r="Q68" s="9">
        <v>45749</v>
      </c>
      <c r="R68" s="8">
        <v>97</v>
      </c>
      <c r="S68" s="8">
        <v>108.5</v>
      </c>
      <c r="T68" s="4"/>
    </row>
    <row r="69" spans="17:20" ht="17.5">
      <c r="Q69" s="9">
        <v>45750</v>
      </c>
      <c r="R69" s="8">
        <v>95.3</v>
      </c>
      <c r="S69" s="8">
        <v>104.8</v>
      </c>
      <c r="T69" s="4"/>
    </row>
    <row r="70" spans="17:20" ht="17.5">
      <c r="Q70" s="9">
        <v>45751</v>
      </c>
      <c r="R70" s="8">
        <v>92.3</v>
      </c>
      <c r="S70" s="8">
        <v>98</v>
      </c>
      <c r="T70" s="4"/>
    </row>
    <row r="71" spans="17:20" ht="17.5">
      <c r="Q71" s="9">
        <v>45754</v>
      </c>
      <c r="R71" s="8">
        <v>91.7</v>
      </c>
      <c r="S71" s="8">
        <v>97.7</v>
      </c>
      <c r="T71" s="4"/>
    </row>
    <row r="72" spans="17:20" ht="17.5">
      <c r="Q72" s="9">
        <v>45755</v>
      </c>
      <c r="R72" s="8">
        <v>90.8</v>
      </c>
      <c r="S72" s="8">
        <v>96.9</v>
      </c>
      <c r="T72" s="4"/>
    </row>
    <row r="73" spans="17:20" ht="17.5">
      <c r="Q73" s="9">
        <v>45756</v>
      </c>
      <c r="R73" s="8">
        <v>89.6</v>
      </c>
      <c r="S73" s="8">
        <v>96.4</v>
      </c>
      <c r="T73" s="4"/>
    </row>
    <row r="74" spans="17:20" ht="17.5">
      <c r="Q74" s="9">
        <v>45757</v>
      </c>
      <c r="R74" s="8">
        <v>91.8</v>
      </c>
      <c r="S74" s="8">
        <v>101.2</v>
      </c>
      <c r="T74" s="4"/>
    </row>
    <row r="75" spans="17:20" ht="17.5">
      <c r="Q75" s="9">
        <v>45758</v>
      </c>
      <c r="R75" s="8">
        <v>92.8</v>
      </c>
      <c r="S75" s="8">
        <v>103.3</v>
      </c>
      <c r="T75" s="4"/>
    </row>
    <row r="76" spans="17:20" ht="17.5">
      <c r="Q76" s="9">
        <v>45761</v>
      </c>
      <c r="R76" s="8">
        <v>91.8</v>
      </c>
      <c r="S76" s="8">
        <v>103</v>
      </c>
      <c r="T76" s="4"/>
    </row>
    <row r="77" spans="17:20" ht="17.5">
      <c r="Q77" s="9">
        <v>45762</v>
      </c>
      <c r="R77" s="8">
        <v>91.9</v>
      </c>
      <c r="S77" s="8">
        <v>102.5</v>
      </c>
      <c r="T77" s="4"/>
    </row>
    <row r="78" spans="17:20" ht="17.5">
      <c r="Q78" s="9">
        <v>45763</v>
      </c>
      <c r="R78" s="8">
        <v>92.3</v>
      </c>
      <c r="S78" s="8">
        <v>103.1</v>
      </c>
      <c r="T78" s="4"/>
    </row>
    <row r="79" spans="17:20" ht="17.5">
      <c r="Q79" s="9">
        <v>45764</v>
      </c>
      <c r="R79" s="8">
        <v>91.7</v>
      </c>
      <c r="S79" s="8">
        <v>103</v>
      </c>
      <c r="T79" s="4"/>
    </row>
    <row r="80" spans="17:20" ht="17.5">
      <c r="Q80" s="9">
        <v>45765</v>
      </c>
      <c r="R80" s="8">
        <v>93.1</v>
      </c>
      <c r="S80" s="8">
        <v>104.1</v>
      </c>
      <c r="T80" s="4"/>
    </row>
    <row r="81" spans="17:20" ht="17.5">
      <c r="Q81" s="9">
        <v>45768</v>
      </c>
      <c r="R81" s="8">
        <v>95.2</v>
      </c>
      <c r="S81" s="8">
        <v>105.7</v>
      </c>
      <c r="T81" s="4"/>
    </row>
    <row r="82" spans="17:20" ht="17.5">
      <c r="Q82" s="9">
        <v>45769</v>
      </c>
      <c r="R82" s="8">
        <v>92.4</v>
      </c>
      <c r="S82" s="8">
        <v>105.2</v>
      </c>
      <c r="T82" s="4"/>
    </row>
    <row r="83" spans="17:20" ht="17.5">
      <c r="Q83" s="9">
        <v>45770</v>
      </c>
      <c r="R83" s="8">
        <v>94.4</v>
      </c>
      <c r="S83" s="8">
        <v>105.3</v>
      </c>
      <c r="T83" s="4"/>
    </row>
    <row r="84" spans="17:20" ht="17.5">
      <c r="Q84" s="9">
        <v>45771</v>
      </c>
      <c r="R84" s="8">
        <v>95.2</v>
      </c>
      <c r="S84" s="8">
        <v>105.7</v>
      </c>
      <c r="T84" s="4"/>
    </row>
    <row r="85" spans="17:20" ht="17.5">
      <c r="Q85" s="9">
        <v>45772</v>
      </c>
      <c r="R85" s="8">
        <v>94.3</v>
      </c>
      <c r="S85" s="8">
        <v>105.4</v>
      </c>
      <c r="T85" s="4"/>
    </row>
    <row r="86" spans="17:20" ht="17.5">
      <c r="Q86" s="9">
        <v>45775</v>
      </c>
      <c r="R86" s="8">
        <v>94.5</v>
      </c>
      <c r="S86" s="8">
        <v>105.8</v>
      </c>
      <c r="T86" s="4"/>
    </row>
    <row r="87" spans="17:20" ht="17.5">
      <c r="Q87" s="9">
        <v>45776</v>
      </c>
      <c r="R87" s="8">
        <v>95.8</v>
      </c>
      <c r="S87" s="8">
        <v>106</v>
      </c>
      <c r="T87" s="4"/>
    </row>
    <row r="88" spans="17:20" ht="17.5">
      <c r="Q88" s="9">
        <v>45777</v>
      </c>
      <c r="R88" s="8">
        <v>93.3</v>
      </c>
      <c r="S88" s="8">
        <v>102.5</v>
      </c>
      <c r="T88" s="4"/>
    </row>
    <row r="89" spans="17:20" ht="17.5">
      <c r="Q89" s="9">
        <v>45778</v>
      </c>
      <c r="R89" s="8">
        <v>94.3</v>
      </c>
      <c r="S89" s="8">
        <v>103.9</v>
      </c>
      <c r="T89" s="4"/>
    </row>
    <row r="90" spans="17:20" ht="17.5">
      <c r="Q90" s="9">
        <v>45779</v>
      </c>
      <c r="R90" s="8">
        <v>94.8</v>
      </c>
      <c r="S90" s="8">
        <v>105.5</v>
      </c>
    </row>
    <row r="91" spans="17:20" ht="17.5">
      <c r="Q91" s="9">
        <v>45782</v>
      </c>
      <c r="R91" s="8">
        <v>94.8</v>
      </c>
      <c r="S91" s="8">
        <v>106</v>
      </c>
    </row>
    <row r="92" spans="17:20" ht="17.5">
      <c r="Q92" s="9">
        <v>45783</v>
      </c>
      <c r="R92" s="8">
        <v>94.5</v>
      </c>
      <c r="S92" s="8">
        <v>107.5</v>
      </c>
    </row>
    <row r="93" spans="17:20" ht="17.5">
      <c r="Q93" s="9">
        <v>45784</v>
      </c>
      <c r="R93" s="8">
        <v>92.7</v>
      </c>
      <c r="S93" s="8">
        <v>106.1</v>
      </c>
    </row>
    <row r="94" spans="17:20" ht="17.5">
      <c r="Q94" s="9">
        <v>45785</v>
      </c>
      <c r="R94" s="8">
        <v>94.7</v>
      </c>
      <c r="S94" s="8">
        <v>106.6</v>
      </c>
    </row>
    <row r="95" spans="17:20" ht="17.5">
      <c r="Q95" s="9">
        <v>45786</v>
      </c>
      <c r="R95" s="8">
        <v>94.8</v>
      </c>
      <c r="S95" s="8">
        <v>106.8</v>
      </c>
    </row>
    <row r="96" spans="17:20" ht="17.5">
      <c r="Q96" s="9">
        <v>45789</v>
      </c>
      <c r="R96" s="8">
        <v>97.4</v>
      </c>
      <c r="S96" s="8">
        <v>107.3</v>
      </c>
    </row>
    <row r="97" spans="17:19" ht="17.5">
      <c r="Q97" s="9">
        <v>45790</v>
      </c>
      <c r="R97" s="8">
        <v>98.1</v>
      </c>
      <c r="S97" s="8">
        <v>108.1</v>
      </c>
    </row>
    <row r="98" spans="17:19" ht="17.5">
      <c r="Q98" s="9">
        <v>45791</v>
      </c>
      <c r="R98" s="8">
        <v>99.6</v>
      </c>
      <c r="S98" s="8">
        <v>108.2</v>
      </c>
    </row>
    <row r="99" spans="17:19" ht="17.5">
      <c r="Q99" s="9">
        <v>45792</v>
      </c>
      <c r="R99" s="8">
        <v>97.9</v>
      </c>
      <c r="S99" s="8">
        <v>108.1</v>
      </c>
    </row>
    <row r="100" spans="17:19" ht="17.5">
      <c r="Q100" s="9">
        <v>45793</v>
      </c>
      <c r="R100" s="8">
        <v>97.9</v>
      </c>
      <c r="S100" s="8">
        <v>106.6</v>
      </c>
    </row>
    <row r="101" spans="17:19" ht="17.5">
      <c r="Q101" s="9">
        <v>45796</v>
      </c>
      <c r="R101" s="8">
        <v>96.5</v>
      </c>
      <c r="S101" s="8">
        <v>107.2</v>
      </c>
    </row>
    <row r="102" spans="17:19" ht="17.5">
      <c r="Q102" s="9">
        <v>45797</v>
      </c>
      <c r="R102" s="8">
        <v>97.2</v>
      </c>
      <c r="S102" s="8">
        <v>107.1</v>
      </c>
    </row>
    <row r="103" spans="17:19" ht="17.5">
      <c r="Q103" s="9">
        <v>45798</v>
      </c>
      <c r="R103" s="8">
        <v>97</v>
      </c>
      <c r="S103" s="8">
        <v>107.3</v>
      </c>
    </row>
    <row r="104" spans="17:19" ht="17.5">
      <c r="Q104" s="9">
        <v>45799</v>
      </c>
      <c r="R104" s="8">
        <v>96.4</v>
      </c>
      <c r="S104" s="8">
        <v>107</v>
      </c>
    </row>
    <row r="105" spans="17:19" ht="17.5">
      <c r="Q105" s="9">
        <v>45800</v>
      </c>
      <c r="R105" s="8">
        <v>96.7</v>
      </c>
      <c r="S105" s="8">
        <v>108.4</v>
      </c>
    </row>
    <row r="106" spans="17:19" ht="17.5">
      <c r="Q106" s="9">
        <v>45803</v>
      </c>
      <c r="R106" s="8">
        <v>96.5</v>
      </c>
      <c r="S106" s="8">
        <v>108.3</v>
      </c>
    </row>
    <row r="107" spans="17:19" ht="17.5">
      <c r="Q107" s="9">
        <v>45804</v>
      </c>
      <c r="R107" s="8">
        <v>97.8</v>
      </c>
      <c r="S107" s="8">
        <v>108.3</v>
      </c>
    </row>
    <row r="108" spans="17:19" ht="17.5">
      <c r="Q108" s="9">
        <v>45805</v>
      </c>
      <c r="R108" s="8">
        <v>97.2</v>
      </c>
      <c r="S108" s="8">
        <v>108</v>
      </c>
    </row>
    <row r="109" spans="17:19" ht="17.5">
      <c r="Q109" s="9">
        <v>45806</v>
      </c>
      <c r="R109" s="8">
        <v>96.2</v>
      </c>
      <c r="S109" s="8">
        <v>108.2</v>
      </c>
    </row>
    <row r="110" spans="17:19" ht="17.5">
      <c r="Q110" s="9">
        <v>45807</v>
      </c>
      <c r="R110" s="8">
        <v>96</v>
      </c>
      <c r="S110" s="8">
        <v>107.4</v>
      </c>
    </row>
    <row r="111" spans="17:19" ht="17.5">
      <c r="Q111" s="9">
        <v>45810</v>
      </c>
      <c r="R111" s="8">
        <v>96.9</v>
      </c>
      <c r="S111" s="8">
        <v>108.7</v>
      </c>
    </row>
    <row r="112" spans="17:19" ht="17.5">
      <c r="Q112" s="9">
        <v>45811</v>
      </c>
      <c r="R112" s="8">
        <v>96.8</v>
      </c>
      <c r="S112" s="8">
        <v>108.9</v>
      </c>
    </row>
    <row r="113" spans="17:19" ht="17.5">
      <c r="Q113" s="9">
        <v>45812</v>
      </c>
      <c r="R113" s="8">
        <v>97.4</v>
      </c>
      <c r="S113" s="8">
        <v>108.7</v>
      </c>
    </row>
    <row r="114" spans="17:19" ht="17.5">
      <c r="Q114" s="9">
        <v>45813</v>
      </c>
      <c r="R114" s="8">
        <v>97.2</v>
      </c>
      <c r="S114" s="8">
        <v>110.6</v>
      </c>
    </row>
    <row r="115" spans="17:19" ht="17.5">
      <c r="Q115" s="9">
        <v>45814</v>
      </c>
      <c r="R115" s="8">
        <v>96.3</v>
      </c>
      <c r="S115" s="8">
        <v>109.8</v>
      </c>
    </row>
    <row r="116" spans="17:19" ht="17.5">
      <c r="Q116" s="9">
        <v>45817</v>
      </c>
      <c r="R116" s="8">
        <v>97.5</v>
      </c>
      <c r="S116" s="8">
        <v>111.2</v>
      </c>
    </row>
    <row r="117" spans="17:19" ht="17.5">
      <c r="Q117" s="9">
        <v>45818</v>
      </c>
      <c r="R117" s="8">
        <v>98.4</v>
      </c>
      <c r="S117" s="8">
        <v>110.6</v>
      </c>
    </row>
    <row r="118" spans="17:19" ht="17.5">
      <c r="Q118" s="9">
        <v>45819</v>
      </c>
      <c r="R118" s="8">
        <v>99.1</v>
      </c>
      <c r="S118" s="8">
        <v>109.1</v>
      </c>
    </row>
    <row r="119" spans="17:19" ht="17.5">
      <c r="Q119" s="9">
        <v>45820</v>
      </c>
      <c r="R119" s="8">
        <v>99.2</v>
      </c>
      <c r="S119" s="8">
        <v>110</v>
      </c>
    </row>
    <row r="120" spans="17:19" ht="17.5">
      <c r="Q120" s="9">
        <v>45821</v>
      </c>
      <c r="R120" s="8">
        <v>98.5</v>
      </c>
      <c r="S120" s="8">
        <v>109.3</v>
      </c>
    </row>
    <row r="121" spans="17:19" ht="17.5">
      <c r="Q121" s="9">
        <v>45824</v>
      </c>
      <c r="R121" s="8">
        <v>99</v>
      </c>
      <c r="S121" s="8">
        <v>110.2</v>
      </c>
    </row>
    <row r="122" spans="17:19" ht="17.5">
      <c r="Q122" s="9">
        <v>45825</v>
      </c>
      <c r="R122" s="8">
        <v>100.5</v>
      </c>
      <c r="S122" s="8">
        <v>110.1</v>
      </c>
    </row>
    <row r="123" spans="17:19" ht="17.5">
      <c r="Q123" s="9">
        <v>45826</v>
      </c>
      <c r="R123" s="8">
        <v>100.5</v>
      </c>
      <c r="S123" s="8">
        <v>109.8</v>
      </c>
    </row>
    <row r="124" spans="17:19" ht="17.5">
      <c r="Q124" s="9">
        <v>45827</v>
      </c>
      <c r="R124" s="8">
        <v>99.2</v>
      </c>
      <c r="S124" s="8">
        <v>109.6</v>
      </c>
    </row>
    <row r="125" spans="17:19" ht="17.5">
      <c r="Q125" s="9">
        <v>45828</v>
      </c>
      <c r="R125" s="8">
        <v>100.8</v>
      </c>
      <c r="S125" s="8">
        <v>111.4</v>
      </c>
    </row>
    <row r="126" spans="17:19" ht="17.5">
      <c r="Q126" s="9">
        <v>45831</v>
      </c>
      <c r="R126" s="8">
        <v>102.3</v>
      </c>
      <c r="S126" s="8">
        <v>111.8</v>
      </c>
    </row>
    <row r="127" spans="17:19" ht="17.5">
      <c r="Q127" s="9">
        <v>45832</v>
      </c>
      <c r="R127" s="8">
        <v>101.5</v>
      </c>
      <c r="S127" s="8">
        <v>110.4</v>
      </c>
    </row>
    <row r="128" spans="17:19" ht="17.5">
      <c r="Q128" s="9">
        <v>45833</v>
      </c>
      <c r="R128" s="8">
        <v>100.6</v>
      </c>
      <c r="S128" s="8">
        <v>110.3</v>
      </c>
    </row>
    <row r="129" spans="17:19" ht="17.5">
      <c r="Q129" s="9">
        <v>45834</v>
      </c>
      <c r="R129" s="8">
        <v>101.7</v>
      </c>
      <c r="S129" s="8">
        <v>114.9</v>
      </c>
    </row>
    <row r="130" spans="17:19" ht="17.5">
      <c r="Q130" s="9">
        <v>45835</v>
      </c>
      <c r="R130" s="8">
        <v>102.1</v>
      </c>
      <c r="S130" s="8">
        <v>113.8</v>
      </c>
    </row>
    <row r="131" spans="17:19" ht="17.5">
      <c r="Q131" s="9">
        <v>45838</v>
      </c>
      <c r="R131" s="8">
        <v>102.2</v>
      </c>
      <c r="S131" s="8">
        <v>113</v>
      </c>
    </row>
    <row r="132" spans="17:19" ht="17.5">
      <c r="Q132" s="9">
        <v>45839</v>
      </c>
      <c r="R132" s="8">
        <v>102.2</v>
      </c>
      <c r="S132" s="8">
        <v>113</v>
      </c>
    </row>
    <row r="133" spans="17:19" ht="17.5">
      <c r="Q133" s="9">
        <v>45840</v>
      </c>
      <c r="R133" s="8">
        <v>103</v>
      </c>
      <c r="S133" s="8">
        <v>113.7</v>
      </c>
    </row>
    <row r="134" spans="17:19" ht="17.5">
      <c r="Q134" s="9">
        <v>45841</v>
      </c>
      <c r="R134" s="8">
        <v>102.3</v>
      </c>
      <c r="S134" s="8">
        <v>112.9</v>
      </c>
    </row>
    <row r="135" spans="17:19" ht="17.5">
      <c r="Q135" s="9">
        <v>45842</v>
      </c>
      <c r="R135" s="8">
        <v>101.8</v>
      </c>
      <c r="S135" s="8">
        <v>112</v>
      </c>
    </row>
    <row r="136" spans="17:19" ht="17.5">
      <c r="Q136" s="9">
        <v>45845</v>
      </c>
      <c r="R136" s="8">
        <v>101.2</v>
      </c>
      <c r="S136" s="8">
        <v>111.4</v>
      </c>
    </row>
    <row r="137" spans="17:19" ht="17.5">
      <c r="Q137" s="9">
        <v>45846</v>
      </c>
      <c r="R137" s="8">
        <v>101.8</v>
      </c>
      <c r="S137" s="8">
        <v>110.7</v>
      </c>
    </row>
    <row r="138" spans="17:19" ht="17.5">
      <c r="Q138" s="9">
        <v>45847</v>
      </c>
      <c r="R138" s="8">
        <v>102.1</v>
      </c>
      <c r="S138" s="8">
        <v>108.5</v>
      </c>
    </row>
    <row r="139" spans="17:19" ht="17.5">
      <c r="Q139" s="9">
        <v>45848</v>
      </c>
      <c r="R139" s="8">
        <v>102.6</v>
      </c>
      <c r="S139" s="8">
        <v>109.1</v>
      </c>
    </row>
    <row r="140" spans="17:19" ht="17.5">
      <c r="Q140" s="9">
        <v>45849</v>
      </c>
      <c r="R140" s="8">
        <v>102.4</v>
      </c>
      <c r="S140" s="8">
        <v>108.4</v>
      </c>
    </row>
    <row r="141" spans="17:19" ht="17.5">
      <c r="Q141" s="9">
        <v>45852</v>
      </c>
      <c r="R141" s="8">
        <v>101.9</v>
      </c>
      <c r="S141" s="8">
        <v>107.5</v>
      </c>
    </row>
    <row r="142" spans="17:19" ht="17.5">
      <c r="Q142" s="9">
        <v>45853</v>
      </c>
      <c r="R142" s="8">
        <v>101.5</v>
      </c>
      <c r="S142" s="8">
        <v>107.9</v>
      </c>
    </row>
    <row r="143" spans="17:19" ht="17.5">
      <c r="Q143" s="9">
        <v>45854</v>
      </c>
      <c r="R143" s="8">
        <v>101.4</v>
      </c>
      <c r="S143" s="8">
        <v>107.6</v>
      </c>
    </row>
    <row r="144" spans="17:19" ht="17.5">
      <c r="Q144" s="9">
        <v>45855</v>
      </c>
      <c r="R144" s="8">
        <v>101.3</v>
      </c>
      <c r="S144" s="8">
        <v>108</v>
      </c>
    </row>
    <row r="145" spans="17:19" ht="17.5">
      <c r="Q145" s="9">
        <v>45856</v>
      </c>
      <c r="R145" s="8">
        <v>103.5</v>
      </c>
      <c r="S145" s="8">
        <v>109.3</v>
      </c>
    </row>
    <row r="146" spans="17:19" ht="17.5">
      <c r="Q146" s="9">
        <v>45859</v>
      </c>
      <c r="R146" s="8">
        <v>104.2</v>
      </c>
      <c r="S146" s="8">
        <v>110.1</v>
      </c>
    </row>
    <row r="147" spans="17:19" ht="17.5">
      <c r="Q147" s="9">
        <v>45860</v>
      </c>
      <c r="R147" s="8">
        <v>104.7</v>
      </c>
      <c r="S147" s="8">
        <v>110.8</v>
      </c>
    </row>
    <row r="148" spans="17:19" ht="17.5">
      <c r="Q148" s="9">
        <v>45861</v>
      </c>
      <c r="R148" s="8">
        <v>104.3</v>
      </c>
      <c r="S148" s="8">
        <v>111.1</v>
      </c>
    </row>
    <row r="149" spans="17:19" ht="17.5">
      <c r="Q149" s="9">
        <v>45862</v>
      </c>
      <c r="R149" s="8">
        <v>104.3</v>
      </c>
      <c r="S149" s="8">
        <v>110.5</v>
      </c>
    </row>
    <row r="150" spans="17:19" ht="17.5">
      <c r="Q150" s="9">
        <v>45863</v>
      </c>
      <c r="R150" s="8">
        <v>103.8</v>
      </c>
      <c r="S150" s="8">
        <v>109.2</v>
      </c>
    </row>
    <row r="151" spans="17:19" ht="17.5">
      <c r="Q151" s="9">
        <v>45866</v>
      </c>
      <c r="R151" s="8">
        <v>103.5</v>
      </c>
      <c r="S151" s="8">
        <v>109.5</v>
      </c>
    </row>
    <row r="152" spans="17:19" ht="17.5">
      <c r="Q152" s="9">
        <v>45867</v>
      </c>
      <c r="R152" s="8">
        <v>102.4</v>
      </c>
      <c r="S152" s="8">
        <v>109.6</v>
      </c>
    </row>
    <row r="153" spans="17:19" ht="17.5">
      <c r="Q153" s="9">
        <v>45868</v>
      </c>
      <c r="R153" s="8">
        <v>102.2</v>
      </c>
      <c r="S153" s="8">
        <v>108.5</v>
      </c>
    </row>
    <row r="154" spans="17:19" ht="17.5">
      <c r="Q154" s="9">
        <v>45869</v>
      </c>
      <c r="R154" s="8">
        <v>100.8</v>
      </c>
      <c r="S154" s="8">
        <v>107.5</v>
      </c>
    </row>
    <row r="155" spans="17:19" ht="17.5">
      <c r="Q155" s="9">
        <v>45870</v>
      </c>
      <c r="R155" s="8">
        <v>100.9</v>
      </c>
      <c r="S155" s="8">
        <v>107.7</v>
      </c>
    </row>
    <row r="156" spans="17:19" ht="17.5">
      <c r="Q156" s="9">
        <v>45873</v>
      </c>
      <c r="R156" s="8">
        <v>100.5</v>
      </c>
      <c r="S156" s="8">
        <v>108.3</v>
      </c>
    </row>
    <row r="157" spans="17:19" ht="17.5">
      <c r="Q157" s="9">
        <v>45874</v>
      </c>
      <c r="R157" s="8">
        <v>100.9</v>
      </c>
      <c r="S157" s="8">
        <v>107.6</v>
      </c>
    </row>
    <row r="158" spans="17:19" ht="17.5">
      <c r="Q158" s="9">
        <v>45875</v>
      </c>
      <c r="R158" s="8">
        <v>102.7</v>
      </c>
      <c r="S158" s="8">
        <v>108.1</v>
      </c>
    </row>
    <row r="159" spans="17:19" ht="17.5">
      <c r="Q159" s="9">
        <v>45876</v>
      </c>
      <c r="R159" s="8">
        <v>102.7</v>
      </c>
      <c r="S159" s="8">
        <v>108.1</v>
      </c>
    </row>
    <row r="160" spans="17:19" ht="17.5">
      <c r="Q160" s="9">
        <v>45877</v>
      </c>
      <c r="R160" s="8">
        <v>102.6</v>
      </c>
      <c r="S160" s="8">
        <v>109</v>
      </c>
    </row>
    <row r="161" spans="17:19" ht="17.5">
      <c r="Q161" s="9">
        <v>45880</v>
      </c>
      <c r="R161" s="8">
        <v>101.5</v>
      </c>
      <c r="S161" s="8">
        <v>108.5</v>
      </c>
    </row>
    <row r="162" spans="17:19" ht="17.5">
      <c r="Q162" s="9">
        <v>45881</v>
      </c>
      <c r="R162" s="8">
        <v>102.9</v>
      </c>
      <c r="S162" s="8">
        <v>109.7</v>
      </c>
    </row>
    <row r="163" spans="17:19" ht="17.5">
      <c r="Q163" s="9">
        <v>45882</v>
      </c>
      <c r="R163" s="8">
        <v>102.8</v>
      </c>
      <c r="S163" s="8">
        <v>109.3</v>
      </c>
    </row>
    <row r="164" spans="17:19" ht="17.5">
      <c r="Q164" s="9">
        <v>45883</v>
      </c>
      <c r="R164" s="8">
        <v>102.9</v>
      </c>
      <c r="S164" s="8">
        <v>108.8</v>
      </c>
    </row>
    <row r="165" spans="17:19" ht="17.5">
      <c r="Q165" s="9">
        <v>45884</v>
      </c>
      <c r="R165" s="8">
        <v>102.7</v>
      </c>
      <c r="S165" s="8">
        <v>108.8</v>
      </c>
    </row>
    <row r="166" spans="17:19" ht="17.5">
      <c r="Q166" s="9">
        <v>45887</v>
      </c>
      <c r="R166" s="8">
        <v>101.9</v>
      </c>
      <c r="S166" s="8">
        <v>108.3</v>
      </c>
    </row>
    <row r="167" spans="17:19" ht="17.5">
      <c r="Q167" s="9">
        <v>45888</v>
      </c>
      <c r="R167" s="8">
        <v>100.8</v>
      </c>
      <c r="S167" s="8">
        <v>107.9</v>
      </c>
    </row>
    <row r="168" spans="17:19" ht="17.5">
      <c r="Q168" s="9">
        <v>45889</v>
      </c>
      <c r="R168" s="8">
        <v>101.3</v>
      </c>
      <c r="S168" s="8">
        <v>108.3</v>
      </c>
    </row>
    <row r="169" spans="17:19" ht="17.5">
      <c r="Q169" s="9">
        <v>45890</v>
      </c>
      <c r="R169" s="8">
        <v>101.7</v>
      </c>
      <c r="S169" s="8">
        <v>108.4</v>
      </c>
    </row>
    <row r="170" spans="17:19" ht="17.5">
      <c r="Q170" s="9">
        <v>45891</v>
      </c>
      <c r="R170" s="8">
        <v>103.4</v>
      </c>
      <c r="S170" s="8">
        <v>109.3</v>
      </c>
    </row>
    <row r="171" spans="17:19" ht="17.5">
      <c r="Q171" s="9">
        <v>45894</v>
      </c>
      <c r="R171" s="8">
        <v>103.1</v>
      </c>
      <c r="S171" s="8">
        <v>109.4</v>
      </c>
    </row>
    <row r="172" spans="17:19" ht="17.5">
      <c r="Q172" s="9">
        <v>45895</v>
      </c>
      <c r="R172" s="8">
        <v>104</v>
      </c>
      <c r="S172" s="8">
        <v>109.6</v>
      </c>
    </row>
    <row r="173" spans="17:19" ht="17.5">
      <c r="Q173" s="9">
        <v>45896</v>
      </c>
      <c r="R173" s="8">
        <v>102.6</v>
      </c>
      <c r="S173" s="8">
        <v>108.7</v>
      </c>
    </row>
    <row r="174" spans="17:19" ht="17.5">
      <c r="Q174" s="9">
        <v>45897</v>
      </c>
      <c r="R174" s="8">
        <v>102.8</v>
      </c>
      <c r="S174" s="8">
        <v>109.5</v>
      </c>
    </row>
    <row r="175" spans="17:19" ht="17.5">
      <c r="Q175" s="9">
        <v>45898</v>
      </c>
      <c r="R175" s="8">
        <v>103.1</v>
      </c>
      <c r="S175" s="8">
        <v>110.4</v>
      </c>
    </row>
    <row r="176" spans="17:19" ht="17.5">
      <c r="Q176" s="9">
        <v>45901</v>
      </c>
      <c r="R176" s="8">
        <v>102.9</v>
      </c>
      <c r="S176" s="8">
        <v>110.2</v>
      </c>
    </row>
    <row r="177" spans="17:19" ht="17.5">
      <c r="Q177" s="9">
        <v>45902</v>
      </c>
      <c r="R177" s="8">
        <v>103.3</v>
      </c>
      <c r="S177" s="8">
        <v>111.4</v>
      </c>
    </row>
    <row r="178" spans="17:19" ht="17.5">
      <c r="Q178" s="9">
        <v>45903</v>
      </c>
      <c r="R178" s="8">
        <v>103.2</v>
      </c>
      <c r="S178" s="8">
        <v>111.4</v>
      </c>
    </row>
    <row r="179" spans="17:19" ht="17.5">
      <c r="Q179" s="9">
        <v>45904</v>
      </c>
      <c r="R179" s="8">
        <v>102.1</v>
      </c>
      <c r="S179" s="8">
        <v>110.5</v>
      </c>
    </row>
    <row r="180" spans="17:19" ht="17.5">
      <c r="Q180" s="9">
        <v>45905</v>
      </c>
      <c r="R180" s="8">
        <v>102.4</v>
      </c>
      <c r="S180" s="8">
        <v>110.5</v>
      </c>
    </row>
    <row r="181" spans="17:19" ht="17.5">
      <c r="Q181" s="9">
        <v>45908</v>
      </c>
      <c r="R181" s="8">
        <v>103.2</v>
      </c>
      <c r="S181" s="8">
        <v>110.6</v>
      </c>
    </row>
    <row r="182" spans="17:19" ht="17.5">
      <c r="Q182" s="9">
        <v>45909</v>
      </c>
      <c r="R182" s="8">
        <v>103.3</v>
      </c>
      <c r="S182" s="8">
        <v>110.6</v>
      </c>
    </row>
    <row r="183" spans="17:19" ht="17.5">
      <c r="Q183" s="9">
        <v>45910</v>
      </c>
      <c r="R183" s="8">
        <v>103.4</v>
      </c>
      <c r="S183" s="8">
        <v>111.9</v>
      </c>
    </row>
    <row r="184" spans="17:19" ht="17.5">
      <c r="Q184" s="9">
        <v>45911</v>
      </c>
      <c r="R184" s="8">
        <v>105.7</v>
      </c>
      <c r="S184" s="8">
        <v>112.3</v>
      </c>
    </row>
    <row r="185" spans="17:19" ht="17.5">
      <c r="Q185" s="9">
        <v>45912</v>
      </c>
      <c r="R185" s="8">
        <v>106.1</v>
      </c>
      <c r="S185" s="8">
        <v>112.4</v>
      </c>
    </row>
    <row r="186" spans="17:19" ht="17.5">
      <c r="Q186" s="9">
        <v>45915</v>
      </c>
      <c r="R186" s="8">
        <v>106.5</v>
      </c>
      <c r="S186" s="8">
        <v>113.8</v>
      </c>
    </row>
    <row r="187" spans="17:19" ht="17.5">
      <c r="Q187" s="9">
        <v>45916</v>
      </c>
      <c r="R187" s="8">
        <v>107.6</v>
      </c>
      <c r="S187" s="8">
        <v>113.2</v>
      </c>
    </row>
    <row r="188" spans="17:19" ht="17.5">
      <c r="Q188" s="9">
        <v>45917</v>
      </c>
      <c r="R188" s="8">
        <v>105.7</v>
      </c>
      <c r="S188" s="8">
        <v>111.6</v>
      </c>
    </row>
    <row r="189" spans="17:19" ht="17.5">
      <c r="Q189" s="9">
        <v>45918</v>
      </c>
      <c r="R189" s="8">
        <v>105.8</v>
      </c>
      <c r="S189" s="8">
        <v>111</v>
      </c>
    </row>
    <row r="190" spans="17:19" ht="17.5">
      <c r="Q190" s="9">
        <v>45919</v>
      </c>
      <c r="R190" s="8">
        <v>105.4</v>
      </c>
      <c r="S190" s="8">
        <v>111.6</v>
      </c>
    </row>
    <row r="191" spans="17:19" ht="17.5">
      <c r="Q191" s="9">
        <v>45922</v>
      </c>
      <c r="R191" s="8">
        <v>104.3</v>
      </c>
      <c r="S191" s="8">
        <v>111.3</v>
      </c>
    </row>
    <row r="192" spans="17:19" ht="17.5">
      <c r="Q192" s="9">
        <v>45923</v>
      </c>
      <c r="R192" s="8">
        <v>103.8</v>
      </c>
      <c r="S192" s="8">
        <v>111.3</v>
      </c>
    </row>
    <row r="193" spans="17:19" ht="17.5">
      <c r="Q193" s="9">
        <v>45924</v>
      </c>
      <c r="R193" s="8">
        <v>104.1</v>
      </c>
      <c r="S193" s="8">
        <v>115.9</v>
      </c>
    </row>
    <row r="194" spans="17:19" ht="17.5">
      <c r="Q194" s="9">
        <v>45925</v>
      </c>
      <c r="R194" s="8">
        <v>104.5</v>
      </c>
      <c r="S194" s="8">
        <v>115</v>
      </c>
    </row>
    <row r="195" spans="17:19" ht="17.5">
      <c r="Q195" s="9">
        <v>45926</v>
      </c>
      <c r="R195" s="8">
        <v>104.3</v>
      </c>
      <c r="S195" s="8">
        <v>114</v>
      </c>
    </row>
    <row r="196" spans="17:19" ht="17.5">
      <c r="Q196" s="9">
        <v>45929</v>
      </c>
      <c r="R196" s="8">
        <v>105.2</v>
      </c>
      <c r="S196" s="8">
        <v>116.8</v>
      </c>
    </row>
    <row r="197" spans="17:19" ht="17.5">
      <c r="Q197" s="9">
        <v>45930</v>
      </c>
      <c r="R197" s="8">
        <v>105.4</v>
      </c>
      <c r="S197" s="8">
        <v>115</v>
      </c>
    </row>
    <row r="198" spans="17:19" ht="17.5">
      <c r="Q198" s="9">
        <v>45931</v>
      </c>
      <c r="R198" s="8">
        <v>105.7</v>
      </c>
      <c r="S198" s="8">
        <v>116.2</v>
      </c>
    </row>
    <row r="199" spans="17:19" ht="17.5">
      <c r="Q199" s="9">
        <v>45932</v>
      </c>
      <c r="R199" s="8">
        <v>105.7</v>
      </c>
      <c r="S199" s="8">
        <v>117.6</v>
      </c>
    </row>
    <row r="200" spans="17:19" ht="17.5">
      <c r="Q200" s="9">
        <v>45933</v>
      </c>
      <c r="R200" s="8">
        <v>106.5</v>
      </c>
      <c r="S200" s="8">
        <v>120.2</v>
      </c>
    </row>
    <row r="201" spans="17:19" ht="17.5">
      <c r="Q201" s="9">
        <v>45936</v>
      </c>
      <c r="R201" s="8">
        <v>107.1</v>
      </c>
      <c r="S201" s="8">
        <v>119.3</v>
      </c>
    </row>
    <row r="202" spans="17:19" ht="17.5">
      <c r="Q202" s="9">
        <v>45937</v>
      </c>
      <c r="R202" s="8">
        <v>107.8</v>
      </c>
      <c r="S202" s="8">
        <v>120.6</v>
      </c>
    </row>
    <row r="203" spans="17:19" ht="17.5">
      <c r="Q203" s="9">
        <v>45938</v>
      </c>
      <c r="R203" s="8">
        <v>108.5</v>
      </c>
      <c r="S203" s="8">
        <v>119.6</v>
      </c>
    </row>
    <row r="204" spans="17:19" ht="17.5">
      <c r="Q204" s="9">
        <v>45939</v>
      </c>
      <c r="R204" s="8">
        <v>110.4</v>
      </c>
      <c r="S204" s="8">
        <v>121.9</v>
      </c>
    </row>
    <row r="205" spans="17:19" ht="17.5">
      <c r="Q205" s="9">
        <v>45940</v>
      </c>
      <c r="R205" s="8">
        <v>108.6</v>
      </c>
      <c r="S205" s="8">
        <v>117.9</v>
      </c>
    </row>
    <row r="206" spans="17:19" ht="17.5">
      <c r="Q206" s="9">
        <v>45943</v>
      </c>
      <c r="R206" s="8">
        <v>109.6</v>
      </c>
      <c r="S206" s="8">
        <v>124.2</v>
      </c>
    </row>
    <row r="207" spans="17:19" ht="17.5">
      <c r="Q207" s="9">
        <v>45944</v>
      </c>
      <c r="R207" s="8">
        <v>108.1</v>
      </c>
      <c r="S207" s="8">
        <v>119.5</v>
      </c>
    </row>
    <row r="208" spans="17:19" ht="17.5">
      <c r="Q208" s="9">
        <v>45945</v>
      </c>
      <c r="R208" s="8">
        <v>108.3</v>
      </c>
      <c r="S208" s="8">
        <v>120</v>
      </c>
    </row>
    <row r="209" spans="17:19" ht="17.5">
      <c r="Q209" s="9">
        <v>45946</v>
      </c>
      <c r="R209" s="8">
        <v>110.4</v>
      </c>
      <c r="S209" s="8">
        <v>119.6</v>
      </c>
    </row>
    <row r="210" spans="17:19" ht="17.5">
      <c r="Q210" s="9">
        <v>45947</v>
      </c>
      <c r="R210" s="8">
        <v>109.8</v>
      </c>
      <c r="S210" s="8">
        <v>119</v>
      </c>
    </row>
    <row r="211" spans="17:19" ht="17.5">
      <c r="Q211" s="9">
        <v>45950</v>
      </c>
      <c r="R211" s="8">
        <v>109.5</v>
      </c>
      <c r="S211" s="8">
        <v>119.9</v>
      </c>
    </row>
    <row r="212" spans="17:19" ht="17.5">
      <c r="Q212" s="9">
        <v>45951</v>
      </c>
      <c r="R212" s="8">
        <v>109.5</v>
      </c>
      <c r="S212" s="8">
        <v>119.1</v>
      </c>
    </row>
    <row r="213" spans="17:19" ht="17.5">
      <c r="Q213" s="9">
        <v>45952</v>
      </c>
      <c r="R213" s="8">
        <v>110.6</v>
      </c>
      <c r="S213" s="8">
        <v>119.8</v>
      </c>
    </row>
    <row r="214" spans="17:19" ht="17.5">
      <c r="Q214" s="9">
        <v>45953</v>
      </c>
      <c r="R214" s="8">
        <v>113</v>
      </c>
      <c r="S214" s="8">
        <v>121.9</v>
      </c>
    </row>
    <row r="215" spans="17:19" ht="17.5">
      <c r="Q215" s="9">
        <v>45954</v>
      </c>
      <c r="R215" s="8">
        <v>112.6</v>
      </c>
      <c r="S215" s="8">
        <v>123</v>
      </c>
    </row>
    <row r="216" spans="17:19" ht="17.5">
      <c r="Q216" s="9">
        <v>45957</v>
      </c>
      <c r="R216" s="8">
        <v>113.3</v>
      </c>
      <c r="S216" s="8">
        <v>123.7</v>
      </c>
    </row>
    <row r="217" spans="17:19" ht="17.5">
      <c r="Q217" s="9">
        <v>45958</v>
      </c>
      <c r="R217" s="8">
        <v>113.8</v>
      </c>
      <c r="S217" s="8">
        <v>123.9</v>
      </c>
    </row>
    <row r="218" spans="17:19" ht="17.5">
      <c r="Q218" s="9">
        <v>45959</v>
      </c>
      <c r="R218" s="8">
        <v>113.6</v>
      </c>
      <c r="S218" s="8">
        <v>125.5</v>
      </c>
    </row>
    <row r="219" spans="17:19" ht="17.5">
      <c r="Q219" s="9">
        <v>45960</v>
      </c>
      <c r="R219" s="8">
        <v>112.5</v>
      </c>
      <c r="S219" s="8">
        <v>122.5</v>
      </c>
    </row>
    <row r="220" spans="17:19" ht="17.5">
      <c r="Q220" s="9">
        <v>45961</v>
      </c>
      <c r="R220" s="8">
        <v>113.3</v>
      </c>
      <c r="S220" s="8">
        <v>122.2</v>
      </c>
    </row>
    <row r="221" spans="17:19" ht="17.5">
      <c r="Q221" s="9">
        <v>45964</v>
      </c>
      <c r="R221" s="8">
        <v>114.1</v>
      </c>
      <c r="S221" s="8">
        <v>121.8</v>
      </c>
    </row>
    <row r="222" spans="17:19" ht="17.5">
      <c r="Q222" s="9">
        <v>45965</v>
      </c>
      <c r="R222" s="8">
        <v>112.3</v>
      </c>
      <c r="S222" s="8">
        <v>119.6</v>
      </c>
    </row>
    <row r="223" spans="17:19" ht="17.5">
      <c r="Q223" s="9">
        <v>45966</v>
      </c>
      <c r="R223" s="8">
        <v>111.9</v>
      </c>
      <c r="S223" s="8">
        <v>119.8</v>
      </c>
    </row>
    <row r="224" spans="17:19" ht="17.5">
      <c r="Q224" s="9">
        <v>45967</v>
      </c>
      <c r="R224" s="8">
        <v>111.4</v>
      </c>
      <c r="S224" s="8">
        <v>119.8</v>
      </c>
    </row>
    <row r="225" spans="17:19" ht="17.5">
      <c r="Q225" s="9">
        <v>45968</v>
      </c>
      <c r="R225" s="8">
        <v>111.6</v>
      </c>
      <c r="S225" s="8">
        <v>120.3</v>
      </c>
    </row>
    <row r="226" spans="17:19" ht="17.5">
      <c r="Q226" s="9">
        <v>45971</v>
      </c>
      <c r="R226" s="8">
        <v>112.3</v>
      </c>
      <c r="S226" s="8">
        <v>121.2</v>
      </c>
    </row>
    <row r="227" spans="17:19" ht="17.5">
      <c r="Q227" s="9">
        <v>45972</v>
      </c>
      <c r="R227" s="8">
        <v>112.2</v>
      </c>
      <c r="S227" s="8">
        <v>121.5</v>
      </c>
    </row>
    <row r="228" spans="17:19" ht="17.5">
      <c r="Q228" s="9">
        <v>45973</v>
      </c>
      <c r="R228" s="8">
        <v>112.8</v>
      </c>
      <c r="S228" s="8">
        <v>122.9</v>
      </c>
    </row>
    <row r="229" spans="17:19" ht="17.5">
      <c r="Q229" s="9">
        <v>45974</v>
      </c>
      <c r="R229" s="8">
        <v>113</v>
      </c>
      <c r="S229" s="8">
        <v>123.1</v>
      </c>
    </row>
    <row r="230" spans="17:19" ht="17.5">
      <c r="Q230" s="9">
        <v>45975</v>
      </c>
      <c r="R230" s="8">
        <v>111.4</v>
      </c>
      <c r="S230" s="8">
        <v>122.1</v>
      </c>
    </row>
    <row r="231" spans="17:19" ht="17.5">
      <c r="Q231" s="9">
        <v>45978</v>
      </c>
      <c r="R231" s="8">
        <v>109.2</v>
      </c>
      <c r="S231" s="8">
        <v>120.8</v>
      </c>
    </row>
    <row r="232" spans="17:19" ht="17.5">
      <c r="Q232" s="9">
        <v>45979</v>
      </c>
      <c r="R232" s="8">
        <v>108</v>
      </c>
      <c r="S232" s="8">
        <v>120.1</v>
      </c>
    </row>
    <row r="233" spans="17:19" ht="17.5">
      <c r="Q233" s="9">
        <v>45980</v>
      </c>
      <c r="R233" s="8">
        <v>108.9</v>
      </c>
      <c r="S233" s="8">
        <v>120.5</v>
      </c>
    </row>
    <row r="234" spans="17:19" ht="17.5">
      <c r="Q234" s="9">
        <v>45981</v>
      </c>
      <c r="R234" s="8">
        <v>109.5</v>
      </c>
      <c r="S234" s="8">
        <v>120.5</v>
      </c>
    </row>
    <row r="235" spans="17:19" ht="17.5">
      <c r="Q235" s="9">
        <v>45982</v>
      </c>
      <c r="R235" s="8">
        <v>108.4</v>
      </c>
      <c r="S235" s="8">
        <v>121.2</v>
      </c>
    </row>
    <row r="236" spans="17:19" ht="17.5">
      <c r="Q236" s="9">
        <v>45985</v>
      </c>
      <c r="R236" s="8">
        <v>109.4</v>
      </c>
      <c r="S236" s="8">
        <v>121.4</v>
      </c>
    </row>
    <row r="237" spans="17:19" ht="17.5">
      <c r="Q237" s="9">
        <v>45986</v>
      </c>
      <c r="R237" s="8">
        <v>109</v>
      </c>
      <c r="S237" s="8">
        <v>121.7</v>
      </c>
    </row>
    <row r="238" spans="17:19" ht="17.5">
      <c r="Q238" s="9">
        <v>45987</v>
      </c>
      <c r="R238" s="8">
        <v>111.5</v>
      </c>
      <c r="S238" s="8">
        <v>123.5</v>
      </c>
    </row>
    <row r="239" spans="17:19" ht="17.5">
      <c r="Q239" s="9">
        <v>45988</v>
      </c>
      <c r="R239" s="8">
        <v>110.2</v>
      </c>
      <c r="S239" s="8">
        <v>123.2</v>
      </c>
    </row>
    <row r="240" spans="17:19" ht="17.5">
      <c r="Q240" s="9">
        <v>45989</v>
      </c>
      <c r="R240" s="8">
        <v>111.9</v>
      </c>
      <c r="S240" s="8">
        <v>126.3</v>
      </c>
    </row>
    <row r="241" spans="17:19" ht="17.5">
      <c r="Q241" s="9">
        <v>45992</v>
      </c>
      <c r="R241" s="8">
        <v>112.8</v>
      </c>
      <c r="S241" s="8">
        <v>127.3</v>
      </c>
    </row>
    <row r="242" spans="17:19" ht="17.5">
      <c r="Q242" s="9">
        <v>45993</v>
      </c>
      <c r="R242" s="8">
        <v>111.6</v>
      </c>
      <c r="S242" s="8">
        <v>126.1</v>
      </c>
    </row>
    <row r="243" spans="17:19" ht="17.5">
      <c r="Q243" s="9">
        <v>45994</v>
      </c>
      <c r="R243" s="8">
        <v>112.8</v>
      </c>
      <c r="S243" s="8">
        <v>130.19999999999999</v>
      </c>
    </row>
    <row r="244" spans="17:19" ht="17.5">
      <c r="Q244" s="9">
        <v>45995</v>
      </c>
      <c r="R244" s="8">
        <v>113.1</v>
      </c>
      <c r="S244" s="8">
        <v>129.30000000000001</v>
      </c>
    </row>
    <row r="245" spans="17:19" ht="17.5">
      <c r="Q245" s="9">
        <v>45996</v>
      </c>
      <c r="R245" s="8">
        <v>112.9</v>
      </c>
      <c r="S245" s="8">
        <v>130.9</v>
      </c>
    </row>
    <row r="246" spans="17:19" ht="17.5">
      <c r="Q246" s="9">
        <v>45999</v>
      </c>
      <c r="R246" s="8">
        <v>112.4</v>
      </c>
      <c r="S246" s="8">
        <v>130.9</v>
      </c>
    </row>
    <row r="247" spans="17:19" ht="17.5">
      <c r="Q247" s="9">
        <v>46000</v>
      </c>
      <c r="R247" s="8">
        <v>111.2</v>
      </c>
      <c r="S247" s="8">
        <v>129.19999999999999</v>
      </c>
    </row>
    <row r="248" spans="17:19" ht="17.5">
      <c r="Q248" s="9">
        <v>46001</v>
      </c>
      <c r="R248" s="8">
        <v>111.7</v>
      </c>
      <c r="S248" s="8">
        <v>130.1</v>
      </c>
    </row>
    <row r="249" spans="17:19" ht="17.5">
      <c r="Q249" s="9">
        <v>46002</v>
      </c>
      <c r="R249" s="8">
        <v>113.1</v>
      </c>
      <c r="S249" s="8">
        <v>133.80000000000001</v>
      </c>
    </row>
    <row r="250" spans="17:19" ht="17.5">
      <c r="Q250" s="9">
        <v>46003</v>
      </c>
      <c r="R250" s="8">
        <v>111.6</v>
      </c>
      <c r="S250" s="8">
        <v>129.69999999999999</v>
      </c>
    </row>
    <row r="251" spans="17:19" ht="17.5">
      <c r="Q251" s="9">
        <v>46006</v>
      </c>
      <c r="R251" s="8">
        <v>111</v>
      </c>
      <c r="S251" s="8">
        <v>131</v>
      </c>
    </row>
    <row r="252" spans="17:19" ht="17.5">
      <c r="Q252" s="9">
        <v>46007</v>
      </c>
      <c r="R252" s="8">
        <v>111.5</v>
      </c>
      <c r="S252" s="8">
        <v>130.19999999999999</v>
      </c>
    </row>
    <row r="253" spans="17:19" ht="17.5">
      <c r="Q253" s="9">
        <v>46008</v>
      </c>
      <c r="R253" s="8">
        <v>112.5</v>
      </c>
      <c r="S253" s="8">
        <v>131.9</v>
      </c>
    </row>
    <row r="254" spans="17:19" ht="17.5">
      <c r="Q254" s="9">
        <v>46009</v>
      </c>
      <c r="R254" s="8">
        <v>113</v>
      </c>
      <c r="S254" s="8">
        <v>132.30000000000001</v>
      </c>
    </row>
    <row r="255" spans="17:19" ht="17.5">
      <c r="Q255" s="9">
        <v>46010</v>
      </c>
      <c r="R255" s="8">
        <v>114.3</v>
      </c>
      <c r="S255" s="8">
        <v>133.6</v>
      </c>
    </row>
    <row r="256" spans="17:19" ht="17.5">
      <c r="Q256" s="9">
        <v>46013</v>
      </c>
      <c r="R256" s="8">
        <v>114.2</v>
      </c>
      <c r="S256" s="8">
        <v>134.1</v>
      </c>
    </row>
    <row r="257" spans="17:19" ht="17.5">
      <c r="Q257" s="9">
        <v>46014</v>
      </c>
      <c r="R257" s="8">
        <v>114.3</v>
      </c>
      <c r="S257" s="8">
        <v>135.69999999999999</v>
      </c>
    </row>
    <row r="258" spans="17:19" ht="17.5">
      <c r="Q258" s="9">
        <v>46020</v>
      </c>
      <c r="R258" s="8">
        <v>114.7</v>
      </c>
      <c r="S258" s="8">
        <v>137.80000000000001</v>
      </c>
    </row>
    <row r="259" spans="17:19" ht="17.5">
      <c r="Q259" s="9">
        <v>46021</v>
      </c>
      <c r="R259" s="8">
        <v>116</v>
      </c>
      <c r="S259" s="8">
        <v>141.6</v>
      </c>
    </row>
    <row r="260" spans="17:19" ht="17.5">
      <c r="Q260" s="9">
        <v>46022</v>
      </c>
      <c r="R260" s="8">
        <v>116.8</v>
      </c>
      <c r="S260" s="8">
        <v>140</v>
      </c>
    </row>
    <row r="261" spans="17:19" ht="17.5">
      <c r="Q261" s="9">
        <v>46024</v>
      </c>
      <c r="R261" s="8">
        <v>117.7</v>
      </c>
      <c r="S261" s="8">
        <v>140.6</v>
      </c>
    </row>
    <row r="262" spans="17:19" ht="17.5">
      <c r="Q262" s="9">
        <v>46027</v>
      </c>
      <c r="R262" s="8">
        <v>120.3</v>
      </c>
      <c r="S262" s="8">
        <v>146.5</v>
      </c>
    </row>
    <row r="263" spans="17:19" ht="17.5">
      <c r="Q263" s="9">
        <v>46028</v>
      </c>
      <c r="R263" s="8">
        <v>122.3</v>
      </c>
      <c r="S263" s="8">
        <v>148.9</v>
      </c>
    </row>
    <row r="264" spans="17:19" ht="17.5">
      <c r="Q264" s="9">
        <v>46029</v>
      </c>
      <c r="R264" s="8">
        <v>120.9</v>
      </c>
      <c r="S264" s="8">
        <v>145.19999999999999</v>
      </c>
    </row>
    <row r="265" spans="17:19" ht="17.5">
      <c r="Q265" s="9">
        <v>46030</v>
      </c>
      <c r="R265" s="8">
        <v>121.4</v>
      </c>
      <c r="S265" s="8">
        <v>143.19999999999999</v>
      </c>
    </row>
    <row r="266" spans="17:19" ht="17.5">
      <c r="Q266" s="9">
        <v>46031</v>
      </c>
      <c r="R266" s="8">
        <v>123.8</v>
      </c>
      <c r="S266" s="8">
        <v>146.6</v>
      </c>
    </row>
    <row r="267" spans="17:19" ht="17.5">
      <c r="Q267" s="9">
        <v>46034</v>
      </c>
      <c r="R267" s="8">
        <v>125.7</v>
      </c>
      <c r="S267" s="8">
        <v>149.19999999999999</v>
      </c>
    </row>
    <row r="268" spans="17:19" ht="17.5">
      <c r="Q268" s="9">
        <v>46035</v>
      </c>
      <c r="R268" s="8">
        <v>126.7</v>
      </c>
      <c r="S268" s="8">
        <v>149</v>
      </c>
    </row>
    <row r="269" spans="17:19" ht="17.5">
      <c r="Q269" s="9">
        <v>46036</v>
      </c>
      <c r="R269" s="8">
        <v>126</v>
      </c>
      <c r="S269" s="8">
        <v>148.80000000000001</v>
      </c>
    </row>
    <row r="270" spans="17:19" ht="17.5">
      <c r="Q270" s="9">
        <v>46037</v>
      </c>
      <c r="R270" s="8">
        <v>124.7</v>
      </c>
      <c r="S270" s="8">
        <v>147.80000000000001</v>
      </c>
    </row>
    <row r="271" spans="17:19" ht="17.5">
      <c r="Q271" s="9">
        <v>46038</v>
      </c>
      <c r="R271" s="8">
        <v>123.7</v>
      </c>
      <c r="S271" s="8">
        <v>144.6</v>
      </c>
    </row>
    <row r="272" spans="17:19" ht="17.5">
      <c r="Q272" s="9">
        <v>46041</v>
      </c>
      <c r="R272" s="8">
        <v>124.9</v>
      </c>
      <c r="S272" s="8">
        <v>146.5</v>
      </c>
    </row>
    <row r="273" spans="17:19" ht="17.5">
      <c r="Q273" s="9">
        <v>46042</v>
      </c>
      <c r="R273" s="8">
        <v>121.8</v>
      </c>
      <c r="S273" s="8">
        <v>144.5</v>
      </c>
    </row>
    <row r="274" spans="17:19" ht="17.5">
      <c r="Q274" s="9">
        <v>46043</v>
      </c>
      <c r="R274" s="8">
        <v>122</v>
      </c>
      <c r="S274" s="8">
        <v>143.69999999999999</v>
      </c>
    </row>
    <row r="275" spans="17:19" ht="17.5">
      <c r="Q275" s="9">
        <v>46044</v>
      </c>
      <c r="R275" s="8">
        <v>122.5</v>
      </c>
      <c r="S275" s="8">
        <v>142.5</v>
      </c>
    </row>
    <row r="276" spans="17:19" ht="17.5">
      <c r="Q276" s="9">
        <v>46045</v>
      </c>
      <c r="R276" s="8">
        <v>124.6</v>
      </c>
      <c r="S276" s="8">
        <v>146.69999999999999</v>
      </c>
    </row>
    <row r="277" spans="17:19" ht="17.5">
      <c r="Q277" s="9">
        <v>46048</v>
      </c>
      <c r="R277" s="8">
        <v>125.2</v>
      </c>
      <c r="S277" s="8">
        <v>147.6</v>
      </c>
    </row>
    <row r="278" spans="17:19" ht="17.5">
      <c r="Q278" s="9">
        <v>46049</v>
      </c>
      <c r="R278" s="8">
        <v>126</v>
      </c>
      <c r="S278" s="8">
        <v>145.19999999999999</v>
      </c>
    </row>
    <row r="279" spans="17:19" ht="17.5">
      <c r="Q279" s="9">
        <v>46050</v>
      </c>
      <c r="R279" s="8">
        <v>128</v>
      </c>
      <c r="S279" s="8">
        <v>146</v>
      </c>
    </row>
    <row r="280" spans="17:19" ht="17.5">
      <c r="Q280" s="9">
        <v>46051</v>
      </c>
      <c r="R280" s="8">
        <v>125.8</v>
      </c>
      <c r="S280" s="8">
        <v>152.1</v>
      </c>
    </row>
    <row r="281" spans="17:19" ht="17.5">
      <c r="Q281" s="9">
        <v>46052</v>
      </c>
      <c r="R281" s="8">
        <v>122.7</v>
      </c>
      <c r="S281" s="8">
        <v>146.9</v>
      </c>
    </row>
    <row r="282" spans="17:19" ht="17.5">
      <c r="Q282" s="9">
        <v>46055</v>
      </c>
      <c r="R282" s="8">
        <v>119.4</v>
      </c>
      <c r="S282" s="8">
        <v>144.30000000000001</v>
      </c>
    </row>
    <row r="283" spans="17:19" ht="17.5">
      <c r="Q283" s="9">
        <v>46056</v>
      </c>
      <c r="R283" s="8">
        <v>121.4</v>
      </c>
      <c r="S283" s="8">
        <v>150.80000000000001</v>
      </c>
    </row>
    <row r="284" spans="17:19" ht="17.5">
      <c r="Q284" s="9">
        <v>46057</v>
      </c>
      <c r="R284" s="8">
        <v>119.7</v>
      </c>
      <c r="S284" s="8">
        <v>145.69999999999999</v>
      </c>
    </row>
    <row r="285" spans="17:19" ht="17.5">
      <c r="Q285" s="9">
        <v>46058</v>
      </c>
      <c r="R285" s="8">
        <v>118.1</v>
      </c>
      <c r="S285" s="8">
        <v>144.19999999999999</v>
      </c>
    </row>
    <row r="286" spans="17:19" ht="17.5">
      <c r="Q286" s="9">
        <v>46059</v>
      </c>
      <c r="R286" s="8">
        <v>120.5</v>
      </c>
      <c r="S286" s="8">
        <v>145.30000000000001</v>
      </c>
    </row>
    <row r="287" spans="17:19" ht="17.5">
      <c r="Q287" s="9">
        <v>46062</v>
      </c>
      <c r="R287" s="8">
        <v>122</v>
      </c>
      <c r="S287" s="8">
        <v>147.30000000000001</v>
      </c>
    </row>
    <row r="288" spans="17:19" ht="17.5">
      <c r="Q288" s="9">
        <v>46063</v>
      </c>
      <c r="R288" s="8">
        <v>120.4</v>
      </c>
      <c r="S288" s="8">
        <v>146.5</v>
      </c>
    </row>
    <row r="289" spans="17:19" ht="17.5">
      <c r="Q289" s="9">
        <v>46064</v>
      </c>
      <c r="R289" s="8">
        <v>120.9</v>
      </c>
      <c r="S289" s="8">
        <v>147.19999999999999</v>
      </c>
    </row>
    <row r="290" spans="17:19" ht="17.5">
      <c r="Q290" s="9">
        <v>46065</v>
      </c>
      <c r="R290" s="8">
        <v>120.7</v>
      </c>
      <c r="S290" s="8">
        <v>143.69999999999999</v>
      </c>
    </row>
    <row r="291" spans="17:19" ht="17.5">
      <c r="Q291" s="9">
        <v>46066</v>
      </c>
      <c r="R291" s="8">
        <v>119.7</v>
      </c>
      <c r="S291" s="8">
        <v>143.6</v>
      </c>
    </row>
    <row r="292" spans="17:19" ht="17.5">
      <c r="Q292" s="9">
        <v>46069</v>
      </c>
      <c r="R292" s="8">
        <v>118.7</v>
      </c>
      <c r="S292" s="8">
        <v>143.19999999999999</v>
      </c>
    </row>
    <row r="293" spans="17:19" ht="17.5">
      <c r="Q293" s="9">
        <v>46070</v>
      </c>
      <c r="R293" s="8">
        <v>118</v>
      </c>
      <c r="S293" s="8">
        <v>140.69999999999999</v>
      </c>
    </row>
    <row r="294" spans="17:19" ht="17.5">
      <c r="Q294" s="9">
        <v>46071</v>
      </c>
      <c r="R294" s="8">
        <v>120.3</v>
      </c>
      <c r="S294" s="8">
        <v>144.1</v>
      </c>
    </row>
    <row r="295" spans="17:19" ht="17.5">
      <c r="Q295" s="9">
        <v>46072</v>
      </c>
      <c r="R295" s="8">
        <v>119.7</v>
      </c>
      <c r="S295" s="8">
        <v>142.9</v>
      </c>
    </row>
    <row r="296" spans="17:19" ht="17.5">
      <c r="Q296" s="9">
        <v>46073</v>
      </c>
      <c r="R296" s="8">
        <v>121.2</v>
      </c>
      <c r="S296" s="8">
        <v>144.80000000000001</v>
      </c>
    </row>
    <row r="297" spans="17:19" ht="17.5">
      <c r="Q297" s="9">
        <v>46076</v>
      </c>
      <c r="R297" s="8">
        <v>120.5</v>
      </c>
      <c r="S297" s="8">
        <v>143.69999999999999</v>
      </c>
    </row>
    <row r="298" spans="17:19" ht="17.5">
      <c r="Q298" s="9">
        <v>46077</v>
      </c>
      <c r="R298" s="8">
        <v>120.7</v>
      </c>
      <c r="S298" s="8">
        <v>147</v>
      </c>
    </row>
    <row r="299" spans="17:19" ht="17.5">
      <c r="Q299" s="9">
        <v>46078</v>
      </c>
      <c r="R299" s="8">
        <v>124</v>
      </c>
      <c r="S299" s="8">
        <v>148.9</v>
      </c>
    </row>
    <row r="300" spans="17:19" ht="17.5">
      <c r="Q300" s="9">
        <v>46079</v>
      </c>
      <c r="R300" s="8">
        <v>123.8</v>
      </c>
      <c r="S300" s="8">
        <v>148.80000000000001</v>
      </c>
    </row>
    <row r="301" spans="17:19" ht="17.5">
      <c r="Q301" s="9">
        <v>46080</v>
      </c>
      <c r="R301" s="8">
        <v>123.1</v>
      </c>
      <c r="S301" s="8">
        <v>149.5</v>
      </c>
    </row>
    <row r="302" spans="17:19" ht="17.5">
      <c r="Q302" s="9">
        <v>46083</v>
      </c>
      <c r="R302" s="8">
        <v>125.3</v>
      </c>
      <c r="S302" s="8">
        <v>146.5</v>
      </c>
    </row>
    <row r="303" spans="17:19" ht="17.5">
      <c r="Q303" s="9">
        <v>46084</v>
      </c>
      <c r="R303" s="8">
        <v>128.1</v>
      </c>
      <c r="S303" s="8">
        <v>145.19999999999999</v>
      </c>
    </row>
    <row r="304" spans="17:19" ht="17.5">
      <c r="Q304" s="9">
        <v>46085</v>
      </c>
      <c r="R304" s="8">
        <v>131.6</v>
      </c>
      <c r="S304" s="8">
        <v>146.6</v>
      </c>
    </row>
    <row r="305" spans="17:19" ht="17.5">
      <c r="Q305" s="9">
        <v>46086</v>
      </c>
      <c r="R305" s="8">
        <v>129.6</v>
      </c>
      <c r="S305" s="8">
        <v>144.6</v>
      </c>
    </row>
    <row r="306" spans="17:19" ht="17.5">
      <c r="Q306" s="9">
        <v>46087</v>
      </c>
      <c r="R306" s="8">
        <v>137.5</v>
      </c>
      <c r="S306" s="8">
        <v>144.1</v>
      </c>
    </row>
    <row r="307" spans="17:19" ht="17.5">
      <c r="Q307" s="9">
        <v>46090</v>
      </c>
      <c r="R307" s="8">
        <v>134.1</v>
      </c>
      <c r="S307" s="8">
        <v>144.9</v>
      </c>
    </row>
    <row r="308" spans="17:19" ht="17.5">
      <c r="Q308" s="9">
        <v>46091</v>
      </c>
      <c r="R308" s="8">
        <v>135</v>
      </c>
      <c r="S308" s="8">
        <v>146.69999999999999</v>
      </c>
    </row>
    <row r="309" spans="17:19" ht="17.5">
      <c r="Q309" s="9">
        <v>46092</v>
      </c>
      <c r="R309" s="8">
        <v>137.1</v>
      </c>
      <c r="S309" s="8">
        <v>145.5</v>
      </c>
    </row>
    <row r="310" spans="17:19" ht="17.5">
      <c r="Q310" s="9">
        <v>46093</v>
      </c>
      <c r="R310" s="8">
        <v>139.69999999999999</v>
      </c>
      <c r="S310" s="8">
        <v>145</v>
      </c>
    </row>
    <row r="311" spans="17:19" ht="17.5">
      <c r="Q311" s="9">
        <v>46094</v>
      </c>
      <c r="R311" s="8">
        <v>136.6</v>
      </c>
      <c r="S311" s="8">
        <v>142.5</v>
      </c>
    </row>
    <row r="312" spans="17:19" ht="17.5">
      <c r="Q312" s="9">
        <v>46097</v>
      </c>
      <c r="R312" s="8">
        <v>134.9</v>
      </c>
      <c r="S312" s="8">
        <v>143.4</v>
      </c>
    </row>
    <row r="313" spans="17:19" ht="17.5">
      <c r="Q313" s="9">
        <v>46098</v>
      </c>
      <c r="R313" s="8">
        <v>134</v>
      </c>
      <c r="S313" s="8">
        <v>142.4</v>
      </c>
    </row>
    <row r="314" spans="17:19" ht="17.5">
      <c r="Q314" s="9">
        <v>46099</v>
      </c>
      <c r="R314" s="8">
        <v>135.1</v>
      </c>
      <c r="S314" s="8">
        <v>138.19999999999999</v>
      </c>
    </row>
    <row r="315" spans="17:19" ht="17.5">
      <c r="Q315" s="9">
        <v>46100</v>
      </c>
      <c r="R315" s="8">
        <v>129.5</v>
      </c>
      <c r="S315" s="8">
        <v>135.4</v>
      </c>
    </row>
    <row r="316" spans="17:19" ht="17.5">
      <c r="Q316" s="9">
        <v>46101</v>
      </c>
      <c r="R316" s="8">
        <v>128</v>
      </c>
      <c r="S316" s="8">
        <v>133.1</v>
      </c>
    </row>
    <row r="317" spans="17:19" ht="17.5">
      <c r="Q317" s="9">
        <v>46104</v>
      </c>
      <c r="R317" s="8">
        <v>127.1</v>
      </c>
      <c r="S317" s="8">
        <v>135.80000000000001</v>
      </c>
    </row>
    <row r="318" spans="17:19" ht="17.5">
      <c r="Q318" s="9">
        <v>46105</v>
      </c>
      <c r="R318" s="8">
        <v>130.19999999999999</v>
      </c>
      <c r="S318" s="8">
        <v>135</v>
      </c>
    </row>
    <row r="319" spans="17:19" ht="17.5">
      <c r="Q319" s="9">
        <v>46106</v>
      </c>
      <c r="R319" s="8">
        <v>129.6</v>
      </c>
      <c r="S319" s="8">
        <v>137.69999999999999</v>
      </c>
    </row>
    <row r="320" spans="17:19" ht="17.5">
      <c r="Q320" s="9">
        <v>46107</v>
      </c>
      <c r="R320" s="8">
        <v>131</v>
      </c>
      <c r="S320" s="8">
        <v>135.80000000000001</v>
      </c>
    </row>
    <row r="321" spans="17:19" ht="17.5">
      <c r="Q321" s="9">
        <v>46108</v>
      </c>
      <c r="R321" s="8">
        <v>132.1</v>
      </c>
      <c r="S321" s="8">
        <v>136.30000000000001</v>
      </c>
    </row>
    <row r="322" spans="17:19" ht="17.5">
      <c r="Q322" s="9">
        <v>46111</v>
      </c>
      <c r="R322" s="8">
        <v>135.69999999999999</v>
      </c>
      <c r="S322" s="8">
        <v>136.5</v>
      </c>
    </row>
    <row r="323" spans="17:19" ht="17.5">
      <c r="Q323" s="9">
        <v>46112</v>
      </c>
      <c r="R323" s="8">
        <v>138.6</v>
      </c>
      <c r="S323" s="8">
        <v>137.80000000000001</v>
      </c>
    </row>
    <row r="324" spans="17:19" ht="17.5">
      <c r="Q324" s="9">
        <v>46113</v>
      </c>
      <c r="R324" s="8">
        <v>141.5</v>
      </c>
      <c r="S324" s="8">
        <v>138.80000000000001</v>
      </c>
    </row>
    <row r="325" spans="17:19" ht="17.5">
      <c r="Q325" s="9">
        <v>46114</v>
      </c>
      <c r="R325" s="8">
        <v>139.30000000000001</v>
      </c>
      <c r="S325" s="8">
        <v>138.19999999999999</v>
      </c>
    </row>
    <row r="326" spans="17:19" ht="17.5">
      <c r="Q326" s="9">
        <v>46115</v>
      </c>
      <c r="R326" s="8">
        <v>139.30000000000001</v>
      </c>
      <c r="S326" s="8">
        <v>138.19999999999999</v>
      </c>
    </row>
    <row r="327" spans="17:19" ht="17.5">
      <c r="Q327" s="9">
        <v>46118</v>
      </c>
      <c r="R327" s="8">
        <v>139.30000000000001</v>
      </c>
      <c r="S327" s="8">
        <v>138.19999999999999</v>
      </c>
    </row>
    <row r="328" spans="17:19" ht="17.5">
      <c r="Q328" s="9">
        <v>46119</v>
      </c>
      <c r="R328" s="8">
        <v>139.5</v>
      </c>
      <c r="S328" s="8">
        <v>137.5</v>
      </c>
    </row>
    <row r="329" spans="17:19" ht="17.5">
      <c r="Q329" s="9">
        <v>46120</v>
      </c>
      <c r="R329" s="8">
        <v>137.69999999999999</v>
      </c>
      <c r="S329" s="8">
        <v>141.80000000000001</v>
      </c>
    </row>
    <row r="330" spans="17:19" ht="17.5">
      <c r="Q330" s="9">
        <v>46121</v>
      </c>
      <c r="R330" s="8">
        <v>136.80000000000001</v>
      </c>
      <c r="S330" s="8">
        <v>141.5</v>
      </c>
    </row>
    <row r="331" spans="17:19" ht="17.5">
      <c r="Q331" s="9">
        <v>46122</v>
      </c>
      <c r="R331" s="8">
        <v>140.30000000000001</v>
      </c>
      <c r="S331" s="8">
        <v>144.1</v>
      </c>
    </row>
    <row r="332" spans="17:19" ht="17.5">
      <c r="Q332" s="9">
        <v>46125</v>
      </c>
      <c r="R332" s="8">
        <v>145.1</v>
      </c>
      <c r="S332" s="8">
        <v>146.1</v>
      </c>
    </row>
    <row r="333" spans="17:19" ht="17.5">
      <c r="Q333" s="9">
        <v>46126</v>
      </c>
      <c r="R333" s="8">
        <v>142.4</v>
      </c>
      <c r="S333" s="8">
        <v>149</v>
      </c>
    </row>
    <row r="334" spans="17:19" ht="17.5">
      <c r="Q334" s="9">
        <v>46127</v>
      </c>
      <c r="R334" s="8">
        <v>144</v>
      </c>
      <c r="S334" s="8">
        <v>148.30000000000001</v>
      </c>
    </row>
    <row r="335" spans="17:19" ht="17.5">
      <c r="Q335" s="9">
        <v>46128</v>
      </c>
      <c r="R335" s="8">
        <v>144.80000000000001</v>
      </c>
      <c r="S335" s="8">
        <v>148.5</v>
      </c>
    </row>
    <row r="336" spans="17:19" ht="17.5">
      <c r="Q336" s="9">
        <v>46129</v>
      </c>
      <c r="R336" s="8">
        <v>141.30000000000001</v>
      </c>
      <c r="S336" s="8">
        <v>149.30000000000001</v>
      </c>
    </row>
    <row r="337" spans="17:19" ht="17.5">
      <c r="Q337" s="9">
        <v>46132</v>
      </c>
      <c r="R337" s="8">
        <v>141.30000000000001</v>
      </c>
      <c r="S337" s="8">
        <v>149.30000000000001</v>
      </c>
    </row>
  </sheetData>
  <hyperlinks>
    <hyperlink ref="A36" location="'Read Me'!A1" display="Return to Read Me" xr:uid="{8701EAE6-7B36-469A-807F-A6F674A351EE}"/>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0D6D-9963-4B3A-98C0-AE848DD705D7}">
  <dimension ref="A1:S90"/>
  <sheetViews>
    <sheetView zoomScale="70" zoomScaleNormal="70" workbookViewId="0"/>
  </sheetViews>
  <sheetFormatPr defaultRowHeight="14.5"/>
  <cols>
    <col min="17" max="17" width="13.54296875" customWidth="1"/>
    <col min="18" max="18" width="17.1796875" customWidth="1"/>
  </cols>
  <sheetData>
    <row r="1" spans="1:19" ht="25">
      <c r="A1" s="5" t="s">
        <v>10</v>
      </c>
      <c r="Q1" s="4"/>
    </row>
    <row r="2" spans="1:19" ht="17.5">
      <c r="Q2" s="4" t="s">
        <v>17</v>
      </c>
      <c r="R2" s="20" t="s">
        <v>18</v>
      </c>
      <c r="S2" s="4"/>
    </row>
    <row r="3" spans="1:19" ht="17.5">
      <c r="M3" s="1"/>
      <c r="Q3" s="18" t="s">
        <v>11</v>
      </c>
      <c r="R3" s="19">
        <v>8.2799999999999994</v>
      </c>
      <c r="S3" s="4"/>
    </row>
    <row r="4" spans="1:19" ht="17.5">
      <c r="Q4" s="18" t="s">
        <v>12</v>
      </c>
      <c r="R4" s="19">
        <v>4.8099999999999996</v>
      </c>
      <c r="S4" s="4"/>
    </row>
    <row r="5" spans="1:19" ht="17.5">
      <c r="Q5" s="18" t="s">
        <v>8</v>
      </c>
      <c r="R5" s="19">
        <v>3.15</v>
      </c>
      <c r="S5" s="4"/>
    </row>
    <row r="6" spans="1:19" ht="17.5">
      <c r="Q6" s="18" t="s">
        <v>13</v>
      </c>
      <c r="R6" s="19">
        <v>2.17</v>
      </c>
      <c r="S6" s="4"/>
    </row>
    <row r="7" spans="1:19" ht="17.5">
      <c r="Q7" s="18" t="s">
        <v>14</v>
      </c>
      <c r="R7" s="19">
        <v>1.02</v>
      </c>
      <c r="S7" s="4"/>
    </row>
    <row r="8" spans="1:19" ht="17.5">
      <c r="Q8" s="18" t="s">
        <v>9</v>
      </c>
      <c r="R8" s="19">
        <v>0.09</v>
      </c>
      <c r="S8" s="4"/>
    </row>
    <row r="9" spans="1:19" ht="17.5">
      <c r="Q9" s="4"/>
    </row>
    <row r="10" spans="1:19" ht="17.5">
      <c r="Q10" s="4"/>
    </row>
    <row r="11" spans="1:19" ht="17.5">
      <c r="Q11" s="4"/>
    </row>
    <row r="12" spans="1:19" ht="17.5">
      <c r="Q12" s="4"/>
    </row>
    <row r="13" spans="1:19" ht="17.5">
      <c r="Q13" s="4"/>
    </row>
    <row r="14" spans="1:19" ht="17.5">
      <c r="Q14" s="4"/>
    </row>
    <row r="15" spans="1:19" ht="17.5">
      <c r="Q15" s="4"/>
    </row>
    <row r="16" spans="1:19" ht="17.5">
      <c r="Q16" s="4"/>
    </row>
    <row r="17" spans="17:17" ht="17.5">
      <c r="Q17" s="4"/>
    </row>
    <row r="18" spans="17:17" ht="17.5">
      <c r="Q18" s="4"/>
    </row>
    <row r="19" spans="17:17" ht="17.5">
      <c r="Q19" s="4"/>
    </row>
    <row r="20" spans="17:17" ht="17.5">
      <c r="Q20" s="4"/>
    </row>
    <row r="21" spans="17:17" ht="17.5">
      <c r="Q21" s="4"/>
    </row>
    <row r="22" spans="17:17" ht="17.5">
      <c r="Q22" s="4"/>
    </row>
    <row r="23" spans="17:17" ht="17.5">
      <c r="Q23" s="4"/>
    </row>
    <row r="24" spans="17:17" ht="17.5">
      <c r="Q24" s="4"/>
    </row>
    <row r="25" spans="17:17" ht="17.5">
      <c r="Q25" s="4"/>
    </row>
    <row r="26" spans="17:17" ht="17.5">
      <c r="Q26" s="4"/>
    </row>
    <row r="27" spans="17:17" ht="17.5">
      <c r="Q27" s="4"/>
    </row>
    <row r="28" spans="17:17" ht="17.5">
      <c r="Q28" s="4"/>
    </row>
    <row r="29" spans="17:17" ht="17.5">
      <c r="Q29" s="4"/>
    </row>
    <row r="30" spans="17:17" ht="17.5">
      <c r="Q30" s="4"/>
    </row>
    <row r="31" spans="17:17" ht="17.5">
      <c r="Q31" s="4"/>
    </row>
    <row r="32" spans="17:17" ht="17.5">
      <c r="Q32" s="4"/>
    </row>
    <row r="33" spans="1:17" ht="17.5">
      <c r="A33" s="21" t="s">
        <v>30</v>
      </c>
      <c r="Q33" s="4"/>
    </row>
    <row r="34" spans="1:17" ht="17.5">
      <c r="A34" s="4" t="s">
        <v>16</v>
      </c>
      <c r="Q34" s="4"/>
    </row>
    <row r="35" spans="1:17" ht="17.5">
      <c r="Q35" s="4"/>
    </row>
    <row r="36" spans="1:17" ht="17.5">
      <c r="A36" s="7" t="s">
        <v>6</v>
      </c>
      <c r="Q36" s="4"/>
    </row>
    <row r="37" spans="1:17" ht="17.5">
      <c r="Q37" s="4"/>
    </row>
    <row r="38" spans="1:17" ht="17.5">
      <c r="Q38" s="4"/>
    </row>
    <row r="39" spans="1:17" ht="17.5">
      <c r="Q39" s="4"/>
    </row>
    <row r="40" spans="1:17" ht="17.5">
      <c r="Q40" s="4"/>
    </row>
    <row r="41" spans="1:17" ht="17.5">
      <c r="Q41" s="4"/>
    </row>
    <row r="42" spans="1:17" ht="17.5">
      <c r="Q42" s="4"/>
    </row>
    <row r="43" spans="1:17" ht="17.5">
      <c r="Q43" s="4"/>
    </row>
    <row r="44" spans="1:17" ht="17.5">
      <c r="Q44" s="4"/>
    </row>
    <row r="45" spans="1:17" ht="17.5">
      <c r="Q45" s="4"/>
    </row>
    <row r="46" spans="1:17" ht="17.5">
      <c r="Q46" s="4"/>
    </row>
    <row r="47" spans="1:17" ht="17.5">
      <c r="Q47" s="4"/>
    </row>
    <row r="48" spans="1:17" ht="17.5">
      <c r="Q48" s="4"/>
    </row>
    <row r="49" spans="17:17" ht="17.5">
      <c r="Q49" s="4"/>
    </row>
    <row r="50" spans="17:17" ht="17.5">
      <c r="Q50" s="4"/>
    </row>
    <row r="51" spans="17:17" ht="17.5">
      <c r="Q51" s="4"/>
    </row>
    <row r="52" spans="17:17" ht="17.5">
      <c r="Q52" s="4"/>
    </row>
    <row r="53" spans="17:17" ht="17.5">
      <c r="Q53" s="4"/>
    </row>
    <row r="54" spans="17:17" ht="17.5">
      <c r="Q54" s="4"/>
    </row>
    <row r="55" spans="17:17" ht="17.5">
      <c r="Q55" s="4"/>
    </row>
    <row r="56" spans="17:17" ht="17.5">
      <c r="Q56" s="4"/>
    </row>
    <row r="57" spans="17:17" ht="17.5">
      <c r="Q57" s="4"/>
    </row>
    <row r="58" spans="17:17" ht="17.5">
      <c r="Q58" s="4"/>
    </row>
    <row r="59" spans="17:17" ht="17.5">
      <c r="Q59" s="4"/>
    </row>
    <row r="60" spans="17:17" ht="17.5">
      <c r="Q60" s="4"/>
    </row>
    <row r="61" spans="17:17" ht="17.5">
      <c r="Q61" s="4"/>
    </row>
    <row r="62" spans="17:17" ht="17.5">
      <c r="Q62" s="4"/>
    </row>
    <row r="63" spans="17:17" ht="17.5">
      <c r="Q63" s="4"/>
    </row>
    <row r="64" spans="17:17" ht="17.5">
      <c r="Q64" s="4"/>
    </row>
    <row r="65" spans="17:17" ht="17.5">
      <c r="Q65" s="4"/>
    </row>
    <row r="66" spans="17:17" ht="17.5">
      <c r="Q66" s="4"/>
    </row>
    <row r="67" spans="17:17" ht="17.5">
      <c r="Q67" s="4"/>
    </row>
    <row r="68" spans="17:17" ht="17.5">
      <c r="Q68" s="4"/>
    </row>
    <row r="69" spans="17:17" ht="17.5">
      <c r="Q69" s="4"/>
    </row>
    <row r="70" spans="17:17" ht="17.5">
      <c r="Q70" s="4"/>
    </row>
    <row r="71" spans="17:17" ht="17.5">
      <c r="Q71" s="4"/>
    </row>
    <row r="72" spans="17:17" ht="17.5">
      <c r="Q72" s="4"/>
    </row>
    <row r="73" spans="17:17" ht="17.5">
      <c r="Q73" s="4"/>
    </row>
    <row r="74" spans="17:17" ht="17.5">
      <c r="Q74" s="4"/>
    </row>
    <row r="75" spans="17:17" ht="17.5">
      <c r="Q75" s="4"/>
    </row>
    <row r="76" spans="17:17" ht="17.5">
      <c r="Q76" s="4"/>
    </row>
    <row r="77" spans="17:17" ht="17.5">
      <c r="Q77" s="4"/>
    </row>
    <row r="78" spans="17:17" ht="17.5">
      <c r="Q78" s="4"/>
    </row>
    <row r="79" spans="17:17" ht="17.5">
      <c r="Q79" s="4"/>
    </row>
    <row r="80" spans="17:17" ht="17.5">
      <c r="Q80" s="4"/>
    </row>
    <row r="81" spans="17:17" ht="17.5">
      <c r="Q81" s="4"/>
    </row>
    <row r="82" spans="17:17" ht="17.5">
      <c r="Q82" s="4"/>
    </row>
    <row r="83" spans="17:17" ht="17.5">
      <c r="Q83" s="4"/>
    </row>
    <row r="84" spans="17:17" ht="17.5">
      <c r="Q84" s="4"/>
    </row>
    <row r="85" spans="17:17" ht="17.5">
      <c r="Q85" s="4"/>
    </row>
    <row r="86" spans="17:17" ht="17.5">
      <c r="Q86" s="4"/>
    </row>
    <row r="87" spans="17:17" ht="17.5">
      <c r="Q87" s="4"/>
    </row>
    <row r="88" spans="17:17" ht="17.5">
      <c r="Q88" s="4"/>
    </row>
    <row r="89" spans="17:17" ht="17.5">
      <c r="Q89" s="4"/>
    </row>
    <row r="90" spans="17:17" ht="17.5">
      <c r="Q90" s="4"/>
    </row>
  </sheetData>
  <hyperlinks>
    <hyperlink ref="A36" location="'Read Me'!A1" display="Return to Read Me" xr:uid="{C277CC5F-8521-46DD-B886-E8E7C4B37A1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EBF22-4446-40A8-93A0-940D439730F6}">
  <dimension ref="A1:W92"/>
  <sheetViews>
    <sheetView zoomScale="70" zoomScaleNormal="70" workbookViewId="0"/>
  </sheetViews>
  <sheetFormatPr defaultRowHeight="14.5"/>
  <cols>
    <col min="17" max="17" width="33.7265625" customWidth="1"/>
    <col min="18" max="20" width="16.26953125" bestFit="1" customWidth="1"/>
    <col min="21" max="21" width="14.7265625" bestFit="1" customWidth="1"/>
    <col min="22" max="22" width="21.7265625" bestFit="1" customWidth="1"/>
    <col min="23" max="23" width="14.7265625" bestFit="1" customWidth="1"/>
  </cols>
  <sheetData>
    <row r="1" spans="1:23" ht="25">
      <c r="A1" s="5" t="s">
        <v>15</v>
      </c>
      <c r="Q1" s="4"/>
    </row>
    <row r="2" spans="1:23" ht="17.5">
      <c r="Q2" s="4"/>
      <c r="R2" s="4" t="s">
        <v>11</v>
      </c>
      <c r="S2" s="4" t="s">
        <v>12</v>
      </c>
      <c r="T2" s="4" t="s">
        <v>9</v>
      </c>
      <c r="U2" s="4" t="s">
        <v>19</v>
      </c>
      <c r="V2" s="4" t="s">
        <v>20</v>
      </c>
      <c r="W2" s="4" t="s">
        <v>21</v>
      </c>
    </row>
    <row r="3" spans="1:23" ht="17.5">
      <c r="M3" s="1"/>
      <c r="Q3" s="4" t="s">
        <v>22</v>
      </c>
      <c r="R3" s="14">
        <v>41000</v>
      </c>
      <c r="S3" s="14">
        <v>17000</v>
      </c>
      <c r="T3" s="14">
        <v>12000</v>
      </c>
      <c r="U3" s="14"/>
      <c r="V3" s="14"/>
      <c r="W3" s="14"/>
    </row>
    <row r="4" spans="1:23" ht="17.5">
      <c r="Q4" s="4"/>
      <c r="R4" s="14"/>
      <c r="S4" s="14"/>
      <c r="T4" s="14"/>
      <c r="U4" s="14">
        <v>3000</v>
      </c>
      <c r="V4" s="14">
        <v>3200</v>
      </c>
      <c r="W4" s="14">
        <v>1950</v>
      </c>
    </row>
    <row r="5" spans="1:23" ht="17.5">
      <c r="Q5" s="4" t="s">
        <v>26</v>
      </c>
      <c r="R5" s="14">
        <v>3187.2</v>
      </c>
      <c r="S5" s="14">
        <v>577.79999999999995</v>
      </c>
      <c r="T5" s="14">
        <v>1105.7</v>
      </c>
      <c r="U5" s="14"/>
      <c r="V5" s="14"/>
      <c r="W5" s="14"/>
    </row>
    <row r="6" spans="1:23" ht="17.5">
      <c r="Q6" s="4"/>
      <c r="R6" s="14"/>
      <c r="S6" s="14"/>
      <c r="T6" s="14"/>
      <c r="U6" s="14">
        <v>38.5</v>
      </c>
      <c r="V6" s="14">
        <v>571.5</v>
      </c>
      <c r="W6" s="14">
        <v>16.8</v>
      </c>
    </row>
    <row r="7" spans="1:23" ht="17.5">
      <c r="Q7" s="4" t="s">
        <v>27</v>
      </c>
      <c r="R7" s="14">
        <v>8439.7999999999993</v>
      </c>
      <c r="S7" s="14">
        <v>692.7</v>
      </c>
      <c r="T7" s="14">
        <v>1029.0999999999999</v>
      </c>
      <c r="U7" s="14"/>
      <c r="V7" s="14"/>
      <c r="W7" s="14"/>
    </row>
    <row r="8" spans="1:23" ht="17.5">
      <c r="Q8" s="4"/>
      <c r="R8" s="14"/>
      <c r="S8" s="14"/>
      <c r="T8" s="14"/>
      <c r="U8" s="14">
        <v>291</v>
      </c>
      <c r="V8" s="14">
        <v>535.70000000000005</v>
      </c>
      <c r="W8" s="14">
        <v>35.6</v>
      </c>
    </row>
    <row r="9" spans="1:23" ht="17.5">
      <c r="Q9" s="4" t="s">
        <v>23</v>
      </c>
      <c r="R9" s="14">
        <v>34200</v>
      </c>
      <c r="S9" s="14">
        <v>15500</v>
      </c>
      <c r="T9" s="14">
        <v>9900</v>
      </c>
      <c r="U9" s="14"/>
      <c r="V9" s="14"/>
      <c r="W9" s="14"/>
    </row>
    <row r="10" spans="1:23" ht="17.5">
      <c r="Q10" s="15"/>
      <c r="R10" s="14"/>
      <c r="S10" s="14"/>
      <c r="T10" s="14"/>
      <c r="U10" s="14">
        <v>2750</v>
      </c>
      <c r="V10" s="14">
        <v>2650</v>
      </c>
      <c r="W10" s="14">
        <v>1975</v>
      </c>
    </row>
    <row r="11" spans="1:23" ht="17.5">
      <c r="Q11" s="4" t="s">
        <v>24</v>
      </c>
      <c r="R11" s="14"/>
      <c r="S11" s="14"/>
      <c r="T11" s="14"/>
      <c r="U11" s="14"/>
      <c r="V11" s="14"/>
      <c r="W11" s="14"/>
    </row>
    <row r="12" spans="1:23" ht="17.5">
      <c r="Q12" s="4"/>
    </row>
    <row r="13" spans="1:23" ht="17.5">
      <c r="Q13" s="4"/>
    </row>
    <row r="14" spans="1:23" ht="17.5">
      <c r="Q14" s="4"/>
    </row>
    <row r="15" spans="1:23" ht="17.5">
      <c r="Q15" s="4"/>
    </row>
    <row r="16" spans="1:23" ht="17.5">
      <c r="Q16" s="4"/>
    </row>
    <row r="17" spans="1:17" ht="17.5">
      <c r="Q17" s="4"/>
    </row>
    <row r="18" spans="1:17" ht="17.5">
      <c r="Q18" s="4"/>
    </row>
    <row r="19" spans="1:17" ht="17.5">
      <c r="Q19" s="4"/>
    </row>
    <row r="20" spans="1:17" ht="17.5">
      <c r="Q20" s="4"/>
    </row>
    <row r="21" spans="1:17" ht="17.5">
      <c r="Q21" s="4"/>
    </row>
    <row r="22" spans="1:17" ht="17.5">
      <c r="Q22" s="4"/>
    </row>
    <row r="23" spans="1:17" ht="17.5">
      <c r="Q23" s="4"/>
    </row>
    <row r="24" spans="1:17" ht="17.5">
      <c r="Q24" s="4"/>
    </row>
    <row r="25" spans="1:17" ht="17.5">
      <c r="Q25" s="4"/>
    </row>
    <row r="26" spans="1:17" ht="17.5">
      <c r="Q26" s="4"/>
    </row>
    <row r="27" spans="1:17" ht="17.5">
      <c r="Q27" s="4"/>
    </row>
    <row r="28" spans="1:17" ht="17.5">
      <c r="Q28" s="4"/>
    </row>
    <row r="29" spans="1:17" ht="17.5">
      <c r="Q29" s="4"/>
    </row>
    <row r="30" spans="1:17" ht="17.5">
      <c r="Q30" s="4"/>
    </row>
    <row r="31" spans="1:17" ht="17.5">
      <c r="Q31" s="4"/>
    </row>
    <row r="32" spans="1:17" ht="17.5">
      <c r="A32" s="4" t="s">
        <v>25</v>
      </c>
      <c r="Q32" s="4"/>
    </row>
    <row r="33" spans="1:17" ht="18" customHeight="1">
      <c r="A33" s="23" t="s">
        <v>32</v>
      </c>
      <c r="B33" s="24"/>
      <c r="C33" s="24"/>
      <c r="D33" s="24"/>
      <c r="E33" s="24"/>
      <c r="F33" s="24"/>
      <c r="G33" s="24"/>
      <c r="H33" s="24"/>
      <c r="I33" s="24"/>
      <c r="J33" s="24"/>
      <c r="K33" s="24"/>
      <c r="L33" s="24"/>
      <c r="M33" s="24"/>
      <c r="N33" s="24"/>
      <c r="O33" s="24"/>
      <c r="Q33" s="4"/>
    </row>
    <row r="34" spans="1:17" ht="17.5">
      <c r="A34" s="24"/>
      <c r="B34" s="24"/>
      <c r="C34" s="24"/>
      <c r="D34" s="24"/>
      <c r="E34" s="24"/>
      <c r="F34" s="24"/>
      <c r="G34" s="24"/>
      <c r="H34" s="24"/>
      <c r="I34" s="24"/>
      <c r="J34" s="24"/>
      <c r="K34" s="24"/>
      <c r="L34" s="24"/>
      <c r="M34" s="24"/>
      <c r="N34" s="24"/>
      <c r="O34" s="24"/>
      <c r="Q34" s="4"/>
    </row>
    <row r="35" spans="1:17" ht="17.5">
      <c r="A35" s="24"/>
      <c r="B35" s="24"/>
      <c r="C35" s="24"/>
      <c r="D35" s="24"/>
      <c r="E35" s="24"/>
      <c r="F35" s="24"/>
      <c r="G35" s="24"/>
      <c r="H35" s="24"/>
      <c r="I35" s="24"/>
      <c r="J35" s="24"/>
      <c r="K35" s="24"/>
      <c r="L35" s="24"/>
      <c r="M35" s="24"/>
      <c r="N35" s="24"/>
      <c r="O35" s="24"/>
      <c r="Q35" s="4"/>
    </row>
    <row r="36" spans="1:17" ht="20.25" customHeight="1">
      <c r="A36" s="24"/>
      <c r="B36" s="24"/>
      <c r="C36" s="24"/>
      <c r="D36" s="24"/>
      <c r="E36" s="24"/>
      <c r="F36" s="24"/>
      <c r="G36" s="24"/>
      <c r="H36" s="24"/>
      <c r="I36" s="24"/>
      <c r="J36" s="24"/>
      <c r="K36" s="24"/>
      <c r="L36" s="24"/>
      <c r="M36" s="24"/>
      <c r="N36" s="24"/>
      <c r="O36" s="24"/>
      <c r="Q36" s="4"/>
    </row>
    <row r="37" spans="1:17" ht="17.5">
      <c r="A37" s="16"/>
      <c r="B37" s="16"/>
      <c r="C37" s="16"/>
      <c r="D37" s="16"/>
      <c r="E37" s="16"/>
      <c r="F37" s="16"/>
      <c r="G37" s="16"/>
      <c r="H37" s="16"/>
      <c r="I37" s="16"/>
      <c r="J37" s="16"/>
      <c r="K37" s="16"/>
      <c r="L37" s="16"/>
      <c r="M37" s="16"/>
      <c r="N37" s="16"/>
      <c r="O37" s="16"/>
      <c r="Q37" s="4"/>
    </row>
    <row r="38" spans="1:17" ht="17.5">
      <c r="A38" s="13" t="s">
        <v>6</v>
      </c>
      <c r="Q38" s="4"/>
    </row>
    <row r="39" spans="1:17" ht="17.5">
      <c r="Q39" s="4"/>
    </row>
    <row r="40" spans="1:17" ht="17.5">
      <c r="Q40" s="4"/>
    </row>
    <row r="41" spans="1:17" ht="17.5">
      <c r="Q41" s="4"/>
    </row>
    <row r="42" spans="1:17" ht="17.5">
      <c r="Q42" s="4"/>
    </row>
    <row r="43" spans="1:17" ht="17.5">
      <c r="Q43" s="4"/>
    </row>
    <row r="44" spans="1:17" ht="17.5">
      <c r="Q44" s="4"/>
    </row>
    <row r="45" spans="1:17" ht="17.5">
      <c r="Q45" s="4"/>
    </row>
    <row r="46" spans="1:17" ht="17.5">
      <c r="Q46" s="4"/>
    </row>
    <row r="47" spans="1:17" ht="17.5">
      <c r="Q47" s="4"/>
    </row>
    <row r="48" spans="1:17" ht="17.5">
      <c r="Q48" s="4"/>
    </row>
    <row r="49" spans="17:17" ht="17.5">
      <c r="Q49" s="4"/>
    </row>
    <row r="50" spans="17:17" ht="17.5">
      <c r="Q50" s="4"/>
    </row>
    <row r="51" spans="17:17" ht="17.5">
      <c r="Q51" s="4"/>
    </row>
    <row r="52" spans="17:17" ht="17.5">
      <c r="Q52" s="4"/>
    </row>
    <row r="53" spans="17:17" ht="17.5">
      <c r="Q53" s="4"/>
    </row>
    <row r="54" spans="17:17" ht="17.5">
      <c r="Q54" s="4"/>
    </row>
    <row r="55" spans="17:17" ht="17.5">
      <c r="Q55" s="4"/>
    </row>
    <row r="56" spans="17:17" ht="17.5">
      <c r="Q56" s="4"/>
    </row>
    <row r="57" spans="17:17" ht="17.5">
      <c r="Q57" s="4"/>
    </row>
    <row r="58" spans="17:17" ht="17.5">
      <c r="Q58" s="4"/>
    </row>
    <row r="59" spans="17:17" ht="17.5">
      <c r="Q59" s="4"/>
    </row>
    <row r="60" spans="17:17" ht="17.5">
      <c r="Q60" s="4"/>
    </row>
    <row r="61" spans="17:17" ht="17.5">
      <c r="Q61" s="4"/>
    </row>
    <row r="62" spans="17:17" ht="17.5">
      <c r="Q62" s="4"/>
    </row>
    <row r="63" spans="17:17" ht="17.5">
      <c r="Q63" s="4"/>
    </row>
    <row r="64" spans="17:17" ht="17.5">
      <c r="Q64" s="4"/>
    </row>
    <row r="65" spans="17:17" ht="17.5">
      <c r="Q65" s="4"/>
    </row>
    <row r="66" spans="17:17" ht="17.5">
      <c r="Q66" s="4"/>
    </row>
    <row r="67" spans="17:17" ht="17.5">
      <c r="Q67" s="4"/>
    </row>
    <row r="68" spans="17:17" ht="17.5">
      <c r="Q68" s="4"/>
    </row>
    <row r="69" spans="17:17" ht="17.5">
      <c r="Q69" s="4"/>
    </row>
    <row r="70" spans="17:17" ht="17.5">
      <c r="Q70" s="4"/>
    </row>
    <row r="71" spans="17:17" ht="17.5">
      <c r="Q71" s="4"/>
    </row>
    <row r="72" spans="17:17" ht="17.5">
      <c r="Q72" s="4"/>
    </row>
    <row r="73" spans="17:17" ht="17.5">
      <c r="Q73" s="4"/>
    </row>
    <row r="74" spans="17:17" ht="17.5">
      <c r="Q74" s="4"/>
    </row>
    <row r="75" spans="17:17" ht="17.5">
      <c r="Q75" s="4"/>
    </row>
    <row r="76" spans="17:17" ht="17.5">
      <c r="Q76" s="4"/>
    </row>
    <row r="77" spans="17:17" ht="17.5">
      <c r="Q77" s="4"/>
    </row>
    <row r="78" spans="17:17" ht="17.5">
      <c r="Q78" s="4"/>
    </row>
    <row r="79" spans="17:17" ht="17.5">
      <c r="Q79" s="4"/>
    </row>
    <row r="80" spans="17:17" ht="17.5">
      <c r="Q80" s="4"/>
    </row>
    <row r="81" spans="17:17" ht="17.5">
      <c r="Q81" s="4"/>
    </row>
    <row r="82" spans="17:17" ht="17.5">
      <c r="Q82" s="4"/>
    </row>
    <row r="83" spans="17:17" ht="17.5">
      <c r="Q83" s="4"/>
    </row>
    <row r="84" spans="17:17" ht="17.5">
      <c r="Q84" s="4"/>
    </row>
    <row r="85" spans="17:17" ht="17.5">
      <c r="Q85" s="4"/>
    </row>
    <row r="86" spans="17:17" ht="17.5">
      <c r="Q86" s="4"/>
    </row>
    <row r="87" spans="17:17" ht="17.5">
      <c r="Q87" s="4"/>
    </row>
    <row r="88" spans="17:17" ht="17.5">
      <c r="Q88" s="4"/>
    </row>
    <row r="89" spans="17:17" ht="17.5">
      <c r="Q89" s="4"/>
    </row>
    <row r="90" spans="17:17" ht="17.5">
      <c r="Q90" s="4"/>
    </row>
    <row r="91" spans="17:17" ht="17.5">
      <c r="Q91" s="4"/>
    </row>
    <row r="92" spans="17:17" ht="17.5">
      <c r="Q92" s="4"/>
    </row>
  </sheetData>
  <mergeCells count="1">
    <mergeCell ref="A33:O36"/>
  </mergeCells>
  <hyperlinks>
    <hyperlink ref="A38" location="'Read Me'!A1" display="Return to Read Me" xr:uid="{C16DFD9A-32EC-4267-AAD5-113E5D42C15B}"/>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19.A.</vt:lpstr>
      <vt:lpstr>19.B.</vt:lpstr>
      <vt:lpstr>19.C.</vt:lpstr>
      <vt:lpstr>19.D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Sadhna Naik</dc:creator>
  <cp:lastModifiedBy>Graeme B. Littler</cp:lastModifiedBy>
  <dcterms:created xsi:type="dcterms:W3CDTF">2026-04-22T18:52:24Z</dcterms:created>
  <dcterms:modified xsi:type="dcterms:W3CDTF">2026-04-25T18:38:04Z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2026-04-25T18:37:54Z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96c51945-682a-44f9-adf4-5b16ac004814</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