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drawings/drawing2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R:\Commodities\2026a\Webcharts\"/>
    </mc:Choice>
  </mc:AlternateContent>
  <xr:revisionPtr revIDLastSave="0" documentId="13_ncr:1_{BDB796FB-D837-4CF9-91F4-F41BDACBB16D}" xr6:coauthVersionLast="47" xr6:coauthVersionMax="47" xr10:uidLastSave="{00000000-0000-0000-0000-000000000000}"/>
  <bookViews>
    <workbookView xWindow="-98" yWindow="-98" windowWidth="19396" windowHeight="11475" xr2:uid="{00000000-000D-0000-FFFF-FFFF00000000}"/>
  </bookViews>
  <sheets>
    <sheet name="Read Me" sheetId="1" r:id="rId1"/>
    <sheet name="SF.1.A." sheetId="2" r:id="rId2"/>
    <sheet name="SF.1.B." sheetId="16" r:id="rId3"/>
    <sheet name="SF.1.C." sheetId="4" r:id="rId4"/>
    <sheet name="SF.1.D." sheetId="5" r:id="rId5"/>
    <sheet name="SF.2.A." sheetId="6" r:id="rId6"/>
    <sheet name="SF.2.B." sheetId="7" r:id="rId7"/>
    <sheet name="SF.3.A." sheetId="8" r:id="rId8"/>
    <sheet name="SF.3.B." sheetId="9" r:id="rId9"/>
    <sheet name="SF.3.C." sheetId="10" r:id="rId10"/>
    <sheet name="SF.3.D." sheetId="11" r:id="rId11"/>
    <sheet name="SF.4.A." sheetId="12" r:id="rId12"/>
    <sheet name="SF.4.B." sheetId="13" r:id="rId13"/>
    <sheet name="SF.4.C." sheetId="14" r:id="rId14"/>
    <sheet name="SF.4.D."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2" i="1"/>
  <c r="A21" i="1"/>
  <c r="A20" i="1"/>
  <c r="A19" i="1"/>
  <c r="A18" i="1"/>
  <c r="A15" i="1"/>
  <c r="A14" i="1"/>
  <c r="A13" i="1"/>
  <c r="A12" i="1"/>
  <c r="A9" i="1"/>
  <c r="A8" i="1"/>
  <c r="A5" i="1"/>
  <c r="A4" i="1"/>
</calcChain>
</file>

<file path=xl/sharedStrings.xml><?xml version="1.0" encoding="utf-8"?>
<sst xmlns="http://schemas.openxmlformats.org/spreadsheetml/2006/main" count="125" uniqueCount="79">
  <si>
    <t>Quarter</t>
  </si>
  <si>
    <t>Upper</t>
  </si>
  <si>
    <t>Figure SF.1.A. Oil prices</t>
  </si>
  <si>
    <t>Year</t>
  </si>
  <si>
    <t>2016-
2025</t>
  </si>
  <si>
    <t>2006-
2015</t>
  </si>
  <si>
    <t>1996-
2005</t>
  </si>
  <si>
    <t>1985-
1995</t>
  </si>
  <si>
    <t>1985-
2025</t>
  </si>
  <si>
    <t>Stable geopolitical risk</t>
  </si>
  <si>
    <t>Rising geopolitical risk</t>
  </si>
  <si>
    <t>Period</t>
  </si>
  <si>
    <t>Event</t>
  </si>
  <si>
    <t>upper</t>
  </si>
  <si>
    <t>Lower</t>
  </si>
  <si>
    <t>Real Oil Price</t>
  </si>
  <si>
    <t>Month</t>
  </si>
  <si>
    <t>Model estimate</t>
  </si>
  <si>
    <t>Invasion of Ukraine</t>
  </si>
  <si>
    <t>Libya civil war</t>
  </si>
  <si>
    <t>Invasion of Kuwait</t>
  </si>
  <si>
    <t>Natural 
gas</t>
  </si>
  <si>
    <t>Total 
index</t>
  </si>
  <si>
    <t>Fertilizers</t>
  </si>
  <si>
    <t>Food</t>
  </si>
  <si>
    <t>Precious 
metals</t>
  </si>
  <si>
    <t>Raw 
materials</t>
  </si>
  <si>
    <t>Metals and minerals</t>
  </si>
  <si>
    <t>Natural gas Europe</t>
  </si>
  <si>
    <t>Urea</t>
  </si>
  <si>
    <t>Grains</t>
  </si>
  <si>
    <t>Silver</t>
  </si>
  <si>
    <t>Timber</t>
  </si>
  <si>
    <t>Aluminum</t>
  </si>
  <si>
    <t>Natural gas</t>
  </si>
  <si>
    <t xml:space="preserve">Sources: Caldara and Iacoviello (2022); World Bank. </t>
  </si>
  <si>
    <t>Note: A day of sharply rising geopolitical risk is defined as a day in which the geopolitical risk index increases by more than two standard deviations of its daily average price change (an increase of close to 200 percent). 426 such days were identified out of 14,961 days during 1985–2025, representing 2.8 percent of all days.</t>
  </si>
  <si>
    <t>Sources: Caldara and Iacoviello (2022); World Bank.</t>
  </si>
  <si>
    <t>Note: Figure shows the average standard deviation of the monthly growth rate of oil prices for different samples. Rising geopolitical risk periods are identified when the monthly growth rate of the geopolitical risk index is two standard deviations from its mean. Stable geopolitical risk periods are defined when the growth rate of the geopolitical risk index is within a band of plus/minus 1 percent.</t>
  </si>
  <si>
    <t xml:space="preserve">Sources: International Energy Agency; World Bank. </t>
  </si>
  <si>
    <t>Note: Impulse responses of variables to a shock normalized to raise the real price of oil by 10 percent on impact, with one-standard-deviation confidence bands (dotted lines) computed from 5,000 bootstrap replications.</t>
  </si>
  <si>
    <t>Note: Bars show the first-month oil price increase per 1 percent loss of global oil production during selected historical events; line shows the maximum price response to a 1 percent oil supply shock based on the proxy SVAR model.</t>
  </si>
  <si>
    <t>Source: World Bank.</t>
  </si>
  <si>
    <t xml:space="preserve">Note: Bars show the largest temporal price deviation across commodity markets following a 10 percent increase in oil prices produced by a geopolitical oil supply shock. Red whiskers indicate one-standard-deviation confidence bands. The 29 commodities included in the indexes are: aluminum, banana, beef, chicken, cocoa, copper, gold, groundnut oil, lamb, logs, natural gas (U.S. and Europe), nickel, orange, phosphate rock, platinum, potassium chloride, rubber, sawnwood, silver, soybean meal, sugar, tea, Thai rice, tin, tobacco, urea, wheat, and zinc. </t>
  </si>
  <si>
    <t>Note: Impulse responses of natural gas and fertilizer prices to a geopolitical oil supply shock normalized to raise the real price of oil by 10 percent on impact, with one-standard-deviation confidence bands (dotted lines).</t>
  </si>
  <si>
    <t>Figure SF.1 Oil prices and geopolitical risk</t>
  </si>
  <si>
    <t>Figure SF.1.C. Geopolitical risk index</t>
  </si>
  <si>
    <t>Figure SF.1.D. Number of sharply rising geopolitical risk days per year</t>
  </si>
  <si>
    <t>Figure SF.2.A. Oil price volatility</t>
  </si>
  <si>
    <t>Figure SF.3.A. Response of oil prices</t>
  </si>
  <si>
    <t>Figure SF.3.B. Response of oil production</t>
  </si>
  <si>
    <t>Figure SF.3.C. Response of oil inventories</t>
  </si>
  <si>
    <t>Figure SF.3.D. Oil price responses to selected geopolitical supply shocks</t>
  </si>
  <si>
    <t>Figure SF.4.A. Peak responses of non-oil commodity price indexes</t>
  </si>
  <si>
    <t>Figure SF.4.B. Peak responses of selected commodity prices</t>
  </si>
  <si>
    <t>Figure SF.4.C. Time path of response of natural gas prices</t>
  </si>
  <si>
    <t>Figure SF.4.D. Time path of response of fertilizer prices</t>
  </si>
  <si>
    <t>Figure SF.2 Oil price volatility around periods of rising geopolitical risk</t>
  </si>
  <si>
    <t xml:space="preserve">Figure SF.3 Estimated oil market responses to geopolitical oil supply shocks </t>
  </si>
  <si>
    <t>Figure SF.4 Spillovers from geopolitical oil supply shocks to other commodity markets</t>
  </si>
  <si>
    <t>Return to Read Me</t>
  </si>
  <si>
    <t>Non-oil Commodities</t>
  </si>
  <si>
    <t>Selected Commodities</t>
  </si>
  <si>
    <t>Figure SF.1.B. Quarterly changes in oil prices</t>
  </si>
  <si>
    <t>Oil Prices (levels)</t>
  </si>
  <si>
    <t>Oil prices (growth rate)</t>
  </si>
  <si>
    <t>Geopolitical risk index (threats)</t>
  </si>
  <si>
    <t>Number of days of rising geopolitical risk</t>
  </si>
  <si>
    <t>Oil price change</t>
  </si>
  <si>
    <t>Figure SF.2.B. Oil price changes in the days surrounding major geopolitical risk events</t>
  </si>
  <si>
    <t>World Oil Production</t>
  </si>
  <si>
    <t xml:space="preserve">Percent </t>
  </si>
  <si>
    <t>Range</t>
  </si>
  <si>
    <t xml:space="preserve">Source: World Bank. </t>
  </si>
  <si>
    <t>World Oil Inventories</t>
  </si>
  <si>
    <t>Note: bbl = barrel. Shadow areas highlight nine events associated with significant increases in geopolitical risk and sharp, immediate oil price responses. In chronological order: Iraq’s invasion of Kuwait (August 1990); the start of the Gulf War (January 1991); the terrorist attacks in the United States (September 2001); the oil strike in República Bolivariana de Venezuela (December 2002); the start of the civil war in Libya (February 2011); the breakdown of OPEC cooperation amid escalation of conflicts in Ukraine and Syrian Arab Republic (November 2014); the drone attacks on Saudi Arabia’s oil facilities (September 2019); Russia’s invasion of Ukraine (February 2022); and the outbreak of conflict in the Middle East following attacks on Israel (October 2023).</t>
  </si>
  <si>
    <t>Note: Shadow areas highlight nine events associated with significant increases in geopolitical risk and sharp, immediate oil price responses. In chronological order: Iraq’s invasion of Kuwait (August 1990); the start of the Gulf War (January 1991); the terrorist attacks in the United States (September 2001); the oil strike in República Bolivariana de Venezuela (December 2002); the start of the civil war in Libya (February 2011); the breakdown of OPEC cooperation amid escalation of conflicts in Ukraine and Syrian Arab Republic (November 2014); the drone attacks on Saudi Arabia’s oil facilities (September 2019); Russia’s invasion of Ukraine (February 2022); and the outbreak of conflict in the Middle East following attacks on Israel (October 2023).</t>
  </si>
  <si>
    <t>Note: Shadow areas highlight nine events associated with significant increases in geopolitical risk and sharp, immediate oil price responses. In chronological order: Iraq’s invasion of Kuwait (August 1990); the start of the Gulf War (January 1991); the terrorist attacks in the United States (September 2001); the oil strike in República Bolivariana de Venezuela (December 2002); the start of the civil war in Libya (February 2011); the breakdown of OPEC cooperation amid escalation of conflicts in Ukraine and Syrian Arab Republic (November 2014); the drone attacks on Saudi Arabia’s oil facilities (September 2019); Russia’s invasion of Ukraine (February 2022); and the outbreak of conflict in the Middle East following attacks on Israel (October 2023). Geopolitical risk index (threats category) developed by Caldara and Iacoviello (2022). It captures references in international newspapers to geopolitical tensions signaling potential escalation of conflict. These include mentions of diplomatic frictions, threats of military action, war warnings, and related language indicating heightened geopolitical risk. Using a keyword-based methodology applied to 11 major international newspapers, Caldara and Iacoviello (2022) identify relevant articles and compute the monthly share of such references relative to total news coverage.</t>
  </si>
  <si>
    <t xml:space="preserve">Note: Nine major episodes of high geopolitical risk are identified: Iraq’s invasion of Kuwait (August 1990); the start of the Gulf War (January 1991); the terrorist attacks in the United States (September 2001); the oil strike in República Bolivariana de Venezuela (December 2002); the start of the civil war in Libya (February 2011); the breakdown of OPEC cooperation amid escalation of conflicts in Ukraine and Syrian Arab Republic (November 2014); the drone attacks on Saudi Arabia’s oil facilities (September 2019); Russia’s invasion of Ukraine (February 2022); and the outbreak of conflict in the Middle East following attacks on Israel (October 2023). Values reflect absolute oil price changes in a narrow window of one or a small number of days surrounding the event, depending on the nature and timing of the event.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</si>
</sst>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409]mmm\-yy;@"/>
  </numFmts>
  <fonts count="13">
    <font>
      <sz val="11"/>
      <color theme="1"/>
      <name val="Calibri"/>
      <family val="2"/>
      <scheme val="minor"/>
    </font>
    <font>
      <sz val="14"/>
      <color theme="1"/>
      <name val="Arial"/>
      <family val="2"/>
    </font>
    <font>
      <sz val="14"/>
      <color theme="1"/>
      <name val="Arial"/>
      <family val="2"/>
    </font>
    <font>
      <sz val="20"/>
      <color theme="1"/>
      <name val="Arial"/>
      <family val="2"/>
    </font>
    <font>
      <b/>
      <sz val="20"/>
      <color theme="1"/>
      <name val="Arial"/>
      <family val="2"/>
    </font>
    <font>
      <sz val="14"/>
      <color theme="1"/>
      <name val="Arial"/>
      <family val="2"/>
    </font>
    <font>
      <i/>
      <sz val="14"/>
      <color theme="1"/>
      <name val="Arial"/>
      <family val="2"/>
    </font>
    <font>
      <u/>
      <sz val="11"/>
      <color theme="10"/>
      <name val="Calibri"/>
      <family val="2"/>
      <scheme val="minor"/>
    </font>
    <font>
      <sz val="14"/>
      <color theme="1"/>
      <name val="Arial "/>
    </font>
    <font>
      <b/>
      <sz val="14"/>
      <color theme="1"/>
      <name val="Arial "/>
    </font>
    <font>
      <u/>
      <sz val="14"/>
      <color theme="10"/>
      <name val="Arial"/>
      <family val="2"/>
    </font>
    <font>
      <sz val="14"/>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3" fillId="0" borderId="0" xfId="0" applyFont="1"/>
    <xf numFmtId="0" fontId="4" fillId="0" borderId="0" xfId="0" applyFont="1"/>
    <xf numFmtId="0" fontId="5" fillId="0" borderId="0" xfId="0" applyFont="1"/>
    <xf numFmtId="0" fontId="6" fillId="0" borderId="0" xfId="0" applyFont="1" applyAlignment="1">
      <alignment vertical="center"/>
    </xf>
    <xf numFmtId="0" fontId="5" fillId="0" borderId="0" xfId="0" applyFont="1" applyAlignment="1">
      <alignment vertical="center"/>
    </xf>
    <xf numFmtId="0" fontId="5" fillId="0" borderId="0" xfId="0" applyFont="1" applyAlignment="1">
      <alignment vertical="top" wrapText="1"/>
    </xf>
    <xf numFmtId="0" fontId="8" fillId="0" borderId="0" xfId="0" applyFont="1"/>
    <xf numFmtId="0" fontId="9" fillId="0" borderId="0" xfId="0" applyFont="1"/>
    <xf numFmtId="0" fontId="10" fillId="0" borderId="0" xfId="1" applyFont="1"/>
    <xf numFmtId="17" fontId="5" fillId="0" borderId="0" xfId="0" applyNumberFormat="1" applyFont="1"/>
    <xf numFmtId="0" fontId="5" fillId="0" borderId="0" xfId="0" applyFont="1" applyAlignment="1">
      <alignment wrapText="1"/>
    </xf>
    <xf numFmtId="0" fontId="11" fillId="0" borderId="0" xfId="0" applyFont="1"/>
    <xf numFmtId="1" fontId="5" fillId="0" borderId="0" xfId="0" applyNumberFormat="1" applyFont="1"/>
    <xf numFmtId="0" fontId="12" fillId="0" borderId="0" xfId="0" applyFont="1"/>
    <xf numFmtId="164" fontId="5" fillId="0" borderId="0" xfId="0" applyNumberFormat="1" applyFont="1"/>
    <xf numFmtId="165" fontId="5" fillId="0" borderId="0" xfId="0" applyNumberFormat="1" applyFont="1"/>
    <xf numFmtId="166" fontId="5" fillId="0" borderId="0" xfId="0" applyNumberFormat="1" applyFont="1"/>
    <xf numFmtId="0" fontId="2" fillId="0" borderId="0" xfId="0" applyFont="1"/>
    <xf numFmtId="0" fontId="1" fillId="0" borderId="0" xfId="0" applyFont="1" applyAlignment="1">
      <alignment horizontal="left" wrapText="1"/>
    </xf>
    <xf numFmtId="0" fontId="5" fillId="0" borderId="0" xfId="0" applyFont="1" applyAlignment="1">
      <alignment horizontal="left" wrapText="1"/>
    </xf>
    <xf numFmtId="0" fontId="5" fillId="0" borderId="0" xfId="0" applyFont="1" applyAlignment="1">
      <alignment horizontal="lef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chartUserShapes" Target="../drawings/drawing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40866792477387"/>
          <c:y val="0.129807620201321"/>
          <c:w val="0.86443981692371097"/>
          <c:h val="0.69254881601338292"/>
        </c:manualLayout>
      </c:layout>
      <c:areaChart>
        <c:grouping val="standard"/>
        <c:varyColors val="0"/>
        <c:ser>
          <c:idx val="1"/>
          <c:order val="1"/>
          <c:tx>
            <c:strRef>
              <c:f>'SF.1.A.'!$S$2</c:f>
              <c:strCache>
                <c:ptCount val="1"/>
                <c:pt idx="0">
                  <c:v>Event</c:v>
                </c:pt>
              </c:strCache>
            </c:strRef>
          </c:tx>
          <c:spPr>
            <a:solidFill>
              <a:schemeClr val="bg1">
                <a:lumMod val="85000"/>
              </a:schemeClr>
            </a:solidFill>
            <a:ln w="76200">
              <a:noFill/>
            </a:ln>
            <a:effectLst/>
          </c:spPr>
          <c:val>
            <c:numRef>
              <c:f>'SF.1.A.'!$S$3:$S$166</c:f>
              <c:numCache>
                <c:formatCode>General</c:formatCode>
                <c:ptCount val="1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10000</c:v>
                </c:pt>
                <c:pt idx="23">
                  <c:v>10000</c:v>
                </c:pt>
                <c:pt idx="24">
                  <c:v>10000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10000</c:v>
                </c:pt>
                <c:pt idx="67">
                  <c:v>10000</c:v>
                </c:pt>
                <c:pt idx="68">
                  <c:v>0</c:v>
                </c:pt>
                <c:pt idx="69">
                  <c:v>0</c:v>
                </c:pt>
                <c:pt idx="70">
                  <c:v>0</c:v>
                </c:pt>
                <c:pt idx="71">
                  <c:v>10000</c:v>
                </c:pt>
                <c:pt idx="72">
                  <c:v>10000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10000</c:v>
                </c:pt>
                <c:pt idx="105">
                  <c:v>10000</c:v>
                </c:pt>
                <c:pt idx="106">
                  <c:v>0</c:v>
                </c:pt>
                <c:pt idx="107">
                  <c:v>0</c:v>
                </c:pt>
                <c:pt idx="108">
                  <c:v>0</c:v>
                </c:pt>
                <c:pt idx="109">
                  <c:v>0</c:v>
                </c:pt>
                <c:pt idx="110">
                  <c:v>0</c:v>
                </c:pt>
                <c:pt idx="111">
                  <c:v>0</c:v>
                </c:pt>
                <c:pt idx="112">
                  <c:v>0</c:v>
                </c:pt>
                <c:pt idx="113">
                  <c:v>0</c:v>
                </c:pt>
                <c:pt idx="114">
                  <c:v>0</c:v>
                </c:pt>
                <c:pt idx="115">
                  <c:v>0</c:v>
                </c:pt>
                <c:pt idx="116">
                  <c:v>0</c:v>
                </c:pt>
                <c:pt idx="117">
                  <c:v>0</c:v>
                </c:pt>
                <c:pt idx="118">
                  <c:v>10000</c:v>
                </c:pt>
                <c:pt idx="119">
                  <c:v>10000</c:v>
                </c:pt>
                <c:pt idx="120">
                  <c:v>10000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10000</c:v>
                </c:pt>
                <c:pt idx="139">
                  <c:v>10000</c:v>
                </c:pt>
                <c:pt idx="140">
                  <c:v>0</c:v>
                </c:pt>
                <c:pt idx="141">
                  <c:v>0</c:v>
                </c:pt>
                <c:pt idx="142">
                  <c:v>0</c:v>
                </c:pt>
                <c:pt idx="143">
                  <c:v>0</c:v>
                </c:pt>
                <c:pt idx="144">
                  <c:v>0</c:v>
                </c:pt>
                <c:pt idx="145">
                  <c:v>0</c:v>
                </c:pt>
                <c:pt idx="146">
                  <c:v>0</c:v>
                </c:pt>
                <c:pt idx="147">
                  <c:v>0</c:v>
                </c:pt>
                <c:pt idx="148">
                  <c:v>10000</c:v>
                </c:pt>
                <c:pt idx="149">
                  <c:v>10000</c:v>
                </c:pt>
                <c:pt idx="150">
                  <c:v>0</c:v>
                </c:pt>
                <c:pt idx="151">
                  <c:v>0</c:v>
                </c:pt>
                <c:pt idx="152">
                  <c:v>0</c:v>
                </c:pt>
                <c:pt idx="153">
                  <c:v>0</c:v>
                </c:pt>
                <c:pt idx="154">
                  <c:v>10000</c:v>
                </c:pt>
                <c:pt idx="155">
                  <c:v>10000</c:v>
                </c:pt>
                <c:pt idx="156">
                  <c:v>0</c:v>
                </c:pt>
                <c:pt idx="157">
                  <c:v>0</c:v>
                </c:pt>
                <c:pt idx="158">
                  <c:v>0</c:v>
                </c:pt>
                <c:pt idx="159">
                  <c:v>0</c:v>
                </c:pt>
                <c:pt idx="160">
                  <c:v>0</c:v>
                </c:pt>
                <c:pt idx="161">
                  <c:v>0</c:v>
                </c:pt>
                <c:pt idx="162">
                  <c:v>0</c:v>
                </c:pt>
                <c:pt idx="163">
                  <c:v>0</c:v>
                </c:pt>
              </c:numCache>
            </c:numRef>
          </c:val>
          <c:extLst>
            <c:ext xmlns:c16="http://schemas.microsoft.com/office/drawing/2014/chart" uri="{C3380CC4-5D6E-409C-BE32-E72D297353CC}">
              <c16:uniqueId val="{00000000-5AAE-47C8-8883-8215C4589F81}"/>
            </c:ext>
          </c:extLst>
        </c:ser>
        <c:dLbls>
          <c:showLegendKey val="0"/>
          <c:showVal val="0"/>
          <c:showCatName val="0"/>
          <c:showSerName val="0"/>
          <c:showPercent val="0"/>
          <c:showBubbleSize val="0"/>
        </c:dLbls>
        <c:axId val="29495680"/>
        <c:axId val="29492544"/>
      </c:areaChart>
      <c:lineChart>
        <c:grouping val="standard"/>
        <c:varyColors val="0"/>
        <c:ser>
          <c:idx val="0"/>
          <c:order val="0"/>
          <c:tx>
            <c:strRef>
              <c:f>'SF.1.A.'!$R$2</c:f>
              <c:strCache>
                <c:ptCount val="1"/>
                <c:pt idx="0">
                  <c:v>Oil Prices (levels)</c:v>
                </c:pt>
              </c:strCache>
            </c:strRef>
          </c:tx>
          <c:spPr>
            <a:ln w="76200" cap="rnd">
              <a:solidFill>
                <a:srgbClr val="002345"/>
              </a:solidFill>
              <a:round/>
            </a:ln>
            <a:effectLst/>
          </c:spPr>
          <c:marker>
            <c:symbol val="none"/>
          </c:marker>
          <c:cat>
            <c:numLit>
              <c:formatCode>General</c:formatCode>
              <c:ptCount val="164"/>
              <c:pt idx="0">
                <c:v>1985</c:v>
              </c:pt>
              <c:pt idx="1">
                <c:v>1985</c:v>
              </c:pt>
              <c:pt idx="2">
                <c:v>1985</c:v>
              </c:pt>
              <c:pt idx="3">
                <c:v>1985</c:v>
              </c:pt>
              <c:pt idx="4">
                <c:v>1986</c:v>
              </c:pt>
              <c:pt idx="5">
                <c:v>1986</c:v>
              </c:pt>
              <c:pt idx="6">
                <c:v>1986</c:v>
              </c:pt>
              <c:pt idx="7">
                <c:v>1986</c:v>
              </c:pt>
              <c:pt idx="8">
                <c:v>1987</c:v>
              </c:pt>
              <c:pt idx="9">
                <c:v>1987</c:v>
              </c:pt>
              <c:pt idx="10">
                <c:v>1987</c:v>
              </c:pt>
              <c:pt idx="11">
                <c:v>1987</c:v>
              </c:pt>
              <c:pt idx="12">
                <c:v>1988</c:v>
              </c:pt>
              <c:pt idx="13">
                <c:v>1988</c:v>
              </c:pt>
              <c:pt idx="14">
                <c:v>1988</c:v>
              </c:pt>
              <c:pt idx="15">
                <c:v>1988</c:v>
              </c:pt>
              <c:pt idx="16">
                <c:v>1989</c:v>
              </c:pt>
              <c:pt idx="17">
                <c:v>1989</c:v>
              </c:pt>
              <c:pt idx="18">
                <c:v>1989</c:v>
              </c:pt>
              <c:pt idx="19">
                <c:v>1989</c:v>
              </c:pt>
              <c:pt idx="20">
                <c:v>1990</c:v>
              </c:pt>
              <c:pt idx="21">
                <c:v>1990</c:v>
              </c:pt>
              <c:pt idx="22">
                <c:v>1990</c:v>
              </c:pt>
              <c:pt idx="23">
                <c:v>1990</c:v>
              </c:pt>
              <c:pt idx="24">
                <c:v>1991</c:v>
              </c:pt>
              <c:pt idx="25">
                <c:v>1991</c:v>
              </c:pt>
              <c:pt idx="26">
                <c:v>1991</c:v>
              </c:pt>
              <c:pt idx="27">
                <c:v>1991</c:v>
              </c:pt>
              <c:pt idx="28">
                <c:v>1992</c:v>
              </c:pt>
              <c:pt idx="29">
                <c:v>1992</c:v>
              </c:pt>
              <c:pt idx="30">
                <c:v>1992</c:v>
              </c:pt>
              <c:pt idx="31">
                <c:v>1992</c:v>
              </c:pt>
              <c:pt idx="32">
                <c:v>1993</c:v>
              </c:pt>
              <c:pt idx="33">
                <c:v>1993</c:v>
              </c:pt>
              <c:pt idx="34">
                <c:v>1993</c:v>
              </c:pt>
              <c:pt idx="35">
                <c:v>1993</c:v>
              </c:pt>
              <c:pt idx="36">
                <c:v>1994</c:v>
              </c:pt>
              <c:pt idx="37">
                <c:v>1994</c:v>
              </c:pt>
              <c:pt idx="38">
                <c:v>1994</c:v>
              </c:pt>
              <c:pt idx="39">
                <c:v>1994</c:v>
              </c:pt>
              <c:pt idx="40">
                <c:v>1995</c:v>
              </c:pt>
              <c:pt idx="41">
                <c:v>1995</c:v>
              </c:pt>
              <c:pt idx="42">
                <c:v>1995</c:v>
              </c:pt>
              <c:pt idx="43">
                <c:v>1995</c:v>
              </c:pt>
              <c:pt idx="44">
                <c:v>1996</c:v>
              </c:pt>
              <c:pt idx="45">
                <c:v>1996</c:v>
              </c:pt>
              <c:pt idx="46">
                <c:v>1996</c:v>
              </c:pt>
              <c:pt idx="47">
                <c:v>1996</c:v>
              </c:pt>
              <c:pt idx="48">
                <c:v>1997</c:v>
              </c:pt>
              <c:pt idx="49">
                <c:v>1997</c:v>
              </c:pt>
              <c:pt idx="50">
                <c:v>1997</c:v>
              </c:pt>
              <c:pt idx="51">
                <c:v>1997</c:v>
              </c:pt>
              <c:pt idx="52">
                <c:v>1998</c:v>
              </c:pt>
              <c:pt idx="53">
                <c:v>1998</c:v>
              </c:pt>
              <c:pt idx="54">
                <c:v>1998</c:v>
              </c:pt>
              <c:pt idx="55">
                <c:v>1998</c:v>
              </c:pt>
              <c:pt idx="56">
                <c:v>1999</c:v>
              </c:pt>
              <c:pt idx="57">
                <c:v>1999</c:v>
              </c:pt>
              <c:pt idx="58">
                <c:v>1999</c:v>
              </c:pt>
              <c:pt idx="59">
                <c:v>1999</c:v>
              </c:pt>
              <c:pt idx="60">
                <c:v>2000</c:v>
              </c:pt>
              <c:pt idx="61">
                <c:v>2000</c:v>
              </c:pt>
              <c:pt idx="62">
                <c:v>2000</c:v>
              </c:pt>
              <c:pt idx="63">
                <c:v>2000</c:v>
              </c:pt>
              <c:pt idx="64">
                <c:v>2001</c:v>
              </c:pt>
              <c:pt idx="65">
                <c:v>2001</c:v>
              </c:pt>
              <c:pt idx="66">
                <c:v>2001</c:v>
              </c:pt>
              <c:pt idx="67">
                <c:v>2001</c:v>
              </c:pt>
              <c:pt idx="68">
                <c:v>2002</c:v>
              </c:pt>
              <c:pt idx="69">
                <c:v>2002</c:v>
              </c:pt>
              <c:pt idx="70">
                <c:v>2002</c:v>
              </c:pt>
              <c:pt idx="71">
                <c:v>2002</c:v>
              </c:pt>
              <c:pt idx="72">
                <c:v>2003</c:v>
              </c:pt>
              <c:pt idx="73">
                <c:v>2003</c:v>
              </c:pt>
              <c:pt idx="74">
                <c:v>2003</c:v>
              </c:pt>
              <c:pt idx="75">
                <c:v>2003</c:v>
              </c:pt>
              <c:pt idx="76">
                <c:v>2004</c:v>
              </c:pt>
              <c:pt idx="77">
                <c:v>2004</c:v>
              </c:pt>
              <c:pt idx="78">
                <c:v>2004</c:v>
              </c:pt>
              <c:pt idx="79">
                <c:v>2004</c:v>
              </c:pt>
              <c:pt idx="80">
                <c:v>2005</c:v>
              </c:pt>
              <c:pt idx="81">
                <c:v>2005</c:v>
              </c:pt>
              <c:pt idx="82">
                <c:v>2005</c:v>
              </c:pt>
              <c:pt idx="83">
                <c:v>2005</c:v>
              </c:pt>
              <c:pt idx="84">
                <c:v>2006</c:v>
              </c:pt>
              <c:pt idx="85">
                <c:v>2006</c:v>
              </c:pt>
              <c:pt idx="86">
                <c:v>2006</c:v>
              </c:pt>
              <c:pt idx="87">
                <c:v>2006</c:v>
              </c:pt>
              <c:pt idx="88">
                <c:v>2007</c:v>
              </c:pt>
              <c:pt idx="89">
                <c:v>2007</c:v>
              </c:pt>
              <c:pt idx="90">
                <c:v>2007</c:v>
              </c:pt>
              <c:pt idx="91">
                <c:v>2007</c:v>
              </c:pt>
              <c:pt idx="92">
                <c:v>2008</c:v>
              </c:pt>
              <c:pt idx="93">
                <c:v>2008</c:v>
              </c:pt>
              <c:pt idx="94">
                <c:v>2008</c:v>
              </c:pt>
              <c:pt idx="95">
                <c:v>2008</c:v>
              </c:pt>
              <c:pt idx="96">
                <c:v>2009</c:v>
              </c:pt>
              <c:pt idx="97">
                <c:v>2009</c:v>
              </c:pt>
              <c:pt idx="98">
                <c:v>2009</c:v>
              </c:pt>
              <c:pt idx="99">
                <c:v>2009</c:v>
              </c:pt>
              <c:pt idx="100">
                <c:v>2010</c:v>
              </c:pt>
              <c:pt idx="101">
                <c:v>2010</c:v>
              </c:pt>
              <c:pt idx="102">
                <c:v>2010</c:v>
              </c:pt>
              <c:pt idx="103">
                <c:v>2010</c:v>
              </c:pt>
              <c:pt idx="104">
                <c:v>2011</c:v>
              </c:pt>
              <c:pt idx="105">
                <c:v>2011</c:v>
              </c:pt>
              <c:pt idx="106">
                <c:v>2011</c:v>
              </c:pt>
              <c:pt idx="107">
                <c:v>2011</c:v>
              </c:pt>
              <c:pt idx="108">
                <c:v>2012</c:v>
              </c:pt>
              <c:pt idx="109">
                <c:v>2012</c:v>
              </c:pt>
              <c:pt idx="110">
                <c:v>2012</c:v>
              </c:pt>
              <c:pt idx="111">
                <c:v>2012</c:v>
              </c:pt>
              <c:pt idx="112">
                <c:v>2013</c:v>
              </c:pt>
              <c:pt idx="113">
                <c:v>2013</c:v>
              </c:pt>
              <c:pt idx="114">
                <c:v>2013</c:v>
              </c:pt>
              <c:pt idx="115">
                <c:v>2013</c:v>
              </c:pt>
              <c:pt idx="116">
                <c:v>2014</c:v>
              </c:pt>
              <c:pt idx="117">
                <c:v>2014</c:v>
              </c:pt>
              <c:pt idx="118">
                <c:v>2014</c:v>
              </c:pt>
              <c:pt idx="119">
                <c:v>2014</c:v>
              </c:pt>
              <c:pt idx="120">
                <c:v>2015</c:v>
              </c:pt>
              <c:pt idx="121">
                <c:v>2015</c:v>
              </c:pt>
              <c:pt idx="122">
                <c:v>2015</c:v>
              </c:pt>
              <c:pt idx="123">
                <c:v>2015</c:v>
              </c:pt>
              <c:pt idx="124">
                <c:v>2016</c:v>
              </c:pt>
              <c:pt idx="125">
                <c:v>2016</c:v>
              </c:pt>
              <c:pt idx="126">
                <c:v>2016</c:v>
              </c:pt>
              <c:pt idx="127">
                <c:v>2016</c:v>
              </c:pt>
              <c:pt idx="128">
                <c:v>2017</c:v>
              </c:pt>
              <c:pt idx="129">
                <c:v>2017</c:v>
              </c:pt>
              <c:pt idx="130">
                <c:v>2017</c:v>
              </c:pt>
              <c:pt idx="131">
                <c:v>2017</c:v>
              </c:pt>
              <c:pt idx="132">
                <c:v>2018</c:v>
              </c:pt>
              <c:pt idx="133">
                <c:v>2018</c:v>
              </c:pt>
              <c:pt idx="134">
                <c:v>2018</c:v>
              </c:pt>
              <c:pt idx="135">
                <c:v>2018</c:v>
              </c:pt>
              <c:pt idx="136">
                <c:v>2019</c:v>
              </c:pt>
              <c:pt idx="137">
                <c:v>2019</c:v>
              </c:pt>
              <c:pt idx="138">
                <c:v>2019</c:v>
              </c:pt>
              <c:pt idx="139">
                <c:v>2019</c:v>
              </c:pt>
              <c:pt idx="140">
                <c:v>2020</c:v>
              </c:pt>
              <c:pt idx="141">
                <c:v>2020</c:v>
              </c:pt>
              <c:pt idx="142">
                <c:v>2020</c:v>
              </c:pt>
              <c:pt idx="143">
                <c:v>2020</c:v>
              </c:pt>
              <c:pt idx="144">
                <c:v>2021</c:v>
              </c:pt>
              <c:pt idx="145">
                <c:v>2021</c:v>
              </c:pt>
              <c:pt idx="146">
                <c:v>2021</c:v>
              </c:pt>
              <c:pt idx="147">
                <c:v>2021</c:v>
              </c:pt>
              <c:pt idx="148">
                <c:v>2022</c:v>
              </c:pt>
              <c:pt idx="149">
                <c:v>2022</c:v>
              </c:pt>
              <c:pt idx="150">
                <c:v>2022</c:v>
              </c:pt>
              <c:pt idx="151">
                <c:v>2022</c:v>
              </c:pt>
              <c:pt idx="152">
                <c:v>2023</c:v>
              </c:pt>
              <c:pt idx="153">
                <c:v>2023</c:v>
              </c:pt>
              <c:pt idx="154">
                <c:v>2023</c:v>
              </c:pt>
              <c:pt idx="155">
                <c:v>2023</c:v>
              </c:pt>
              <c:pt idx="156">
                <c:v>2024</c:v>
              </c:pt>
              <c:pt idx="157">
                <c:v>2024</c:v>
              </c:pt>
              <c:pt idx="158">
                <c:v>2024</c:v>
              </c:pt>
              <c:pt idx="159">
                <c:v>2024</c:v>
              </c:pt>
              <c:pt idx="160">
                <c:v>2025</c:v>
              </c:pt>
              <c:pt idx="161">
                <c:v>2025</c:v>
              </c:pt>
              <c:pt idx="162">
                <c:v>2025</c:v>
              </c:pt>
              <c:pt idx="163">
                <c:v>2025</c:v>
              </c:pt>
            </c:numLit>
          </c:cat>
          <c:val>
            <c:numRef>
              <c:f>'SF.1.A.'!$R$3:$R$166</c:f>
              <c:numCache>
                <c:formatCode>0</c:formatCode>
                <c:ptCount val="164"/>
                <c:pt idx="0">
                  <c:v>27.1</c:v>
                </c:pt>
                <c:pt idx="1">
                  <c:v>27.9</c:v>
                </c:pt>
                <c:pt idx="2">
                  <c:v>27.8</c:v>
                </c:pt>
                <c:pt idx="3">
                  <c:v>29.2</c:v>
                </c:pt>
                <c:pt idx="4">
                  <c:v>17</c:v>
                </c:pt>
                <c:pt idx="5">
                  <c:v>13.9</c:v>
                </c:pt>
                <c:pt idx="6">
                  <c:v>13.9</c:v>
                </c:pt>
                <c:pt idx="7">
                  <c:v>15.4</c:v>
                </c:pt>
                <c:pt idx="8">
                  <c:v>18.2</c:v>
                </c:pt>
                <c:pt idx="9">
                  <c:v>19.399999999999999</c:v>
                </c:pt>
                <c:pt idx="10">
                  <c:v>20.399999999999999</c:v>
                </c:pt>
                <c:pt idx="11">
                  <c:v>18.7</c:v>
                </c:pt>
                <c:pt idx="12">
                  <c:v>16.7</c:v>
                </c:pt>
                <c:pt idx="13">
                  <c:v>17.3</c:v>
                </c:pt>
                <c:pt idx="14">
                  <c:v>15.2</c:v>
                </c:pt>
                <c:pt idx="15">
                  <c:v>14.7</c:v>
                </c:pt>
                <c:pt idx="16">
                  <c:v>18.399999999999999</c:v>
                </c:pt>
                <c:pt idx="17">
                  <c:v>20.399999999999999</c:v>
                </c:pt>
                <c:pt idx="18">
                  <c:v>19.3</c:v>
                </c:pt>
                <c:pt idx="19">
                  <c:v>20.3</c:v>
                </c:pt>
                <c:pt idx="20">
                  <c:v>21.7</c:v>
                </c:pt>
                <c:pt idx="21">
                  <c:v>17.899999999999999</c:v>
                </c:pt>
                <c:pt idx="22">
                  <c:v>26.5</c:v>
                </c:pt>
                <c:pt idx="23">
                  <c:v>31.9</c:v>
                </c:pt>
                <c:pt idx="24">
                  <c:v>21.8</c:v>
                </c:pt>
                <c:pt idx="25">
                  <c:v>20.8</c:v>
                </c:pt>
                <c:pt idx="26">
                  <c:v>21.7</c:v>
                </c:pt>
                <c:pt idx="27">
                  <c:v>21.7</c:v>
                </c:pt>
                <c:pt idx="28">
                  <c:v>18.899999999999999</c:v>
                </c:pt>
                <c:pt idx="29">
                  <c:v>21.2</c:v>
                </c:pt>
                <c:pt idx="30">
                  <c:v>21.7</c:v>
                </c:pt>
                <c:pt idx="31">
                  <c:v>20.5</c:v>
                </c:pt>
                <c:pt idx="32">
                  <c:v>19.8</c:v>
                </c:pt>
                <c:pt idx="33">
                  <c:v>19.8</c:v>
                </c:pt>
                <c:pt idx="34">
                  <c:v>17.8</c:v>
                </c:pt>
                <c:pt idx="35">
                  <c:v>16.5</c:v>
                </c:pt>
                <c:pt idx="36">
                  <c:v>14.8</c:v>
                </c:pt>
                <c:pt idx="37">
                  <c:v>17.8</c:v>
                </c:pt>
                <c:pt idx="38">
                  <c:v>18.5</c:v>
                </c:pt>
                <c:pt idx="39">
                  <c:v>17.7</c:v>
                </c:pt>
                <c:pt idx="40">
                  <c:v>18.399999999999999</c:v>
                </c:pt>
                <c:pt idx="41">
                  <c:v>19.3</c:v>
                </c:pt>
                <c:pt idx="42">
                  <c:v>17.899999999999999</c:v>
                </c:pt>
                <c:pt idx="43">
                  <c:v>18.2</c:v>
                </c:pt>
                <c:pt idx="44">
                  <c:v>19.8</c:v>
                </c:pt>
                <c:pt idx="45">
                  <c:v>21.8</c:v>
                </c:pt>
                <c:pt idx="46">
                  <c:v>22.4</c:v>
                </c:pt>
                <c:pt idx="47">
                  <c:v>24.7</c:v>
                </c:pt>
                <c:pt idx="48">
                  <c:v>22.8</c:v>
                </c:pt>
                <c:pt idx="49">
                  <c:v>19.899999999999999</c:v>
                </c:pt>
                <c:pt idx="50">
                  <c:v>19.8</c:v>
                </c:pt>
                <c:pt idx="51">
                  <c:v>19.899999999999999</c:v>
                </c:pt>
                <c:pt idx="52">
                  <c:v>15.9</c:v>
                </c:pt>
                <c:pt idx="53">
                  <c:v>14.7</c:v>
                </c:pt>
                <c:pt idx="54">
                  <c:v>14.1</c:v>
                </c:pt>
                <c:pt idx="55">
                  <c:v>12.8</c:v>
                </c:pt>
                <c:pt idx="56">
                  <c:v>13</c:v>
                </c:pt>
                <c:pt idx="57">
                  <c:v>17.7</c:v>
                </c:pt>
                <c:pt idx="58">
                  <c:v>21.7</c:v>
                </c:pt>
                <c:pt idx="59">
                  <c:v>24.6</c:v>
                </c:pt>
                <c:pt idx="60">
                  <c:v>28.8</c:v>
                </c:pt>
                <c:pt idx="61">
                  <c:v>28.8</c:v>
                </c:pt>
                <c:pt idx="62">
                  <c:v>31.6</c:v>
                </c:pt>
                <c:pt idx="63">
                  <c:v>32</c:v>
                </c:pt>
                <c:pt idx="64">
                  <c:v>28.8</c:v>
                </c:pt>
                <c:pt idx="65">
                  <c:v>27.9</c:v>
                </c:pt>
                <c:pt idx="66">
                  <c:v>26.6</c:v>
                </c:pt>
                <c:pt idx="67">
                  <c:v>20.399999999999999</c:v>
                </c:pt>
                <c:pt idx="68">
                  <c:v>21.6</c:v>
                </c:pt>
                <c:pt idx="69">
                  <c:v>26.3</c:v>
                </c:pt>
                <c:pt idx="70">
                  <c:v>28.3</c:v>
                </c:pt>
                <c:pt idx="71">
                  <c:v>28.2</c:v>
                </c:pt>
                <c:pt idx="72">
                  <c:v>34.1</c:v>
                </c:pt>
                <c:pt idx="73">
                  <c:v>29</c:v>
                </c:pt>
                <c:pt idx="74">
                  <c:v>30.2</c:v>
                </c:pt>
                <c:pt idx="75">
                  <c:v>31.2</c:v>
                </c:pt>
                <c:pt idx="76">
                  <c:v>35.299999999999997</c:v>
                </c:pt>
                <c:pt idx="77">
                  <c:v>38.299999999999997</c:v>
                </c:pt>
                <c:pt idx="78">
                  <c:v>43.9</c:v>
                </c:pt>
                <c:pt idx="79">
                  <c:v>48.3</c:v>
                </c:pt>
                <c:pt idx="80">
                  <c:v>49.7</c:v>
                </c:pt>
                <c:pt idx="81">
                  <c:v>53</c:v>
                </c:pt>
                <c:pt idx="82">
                  <c:v>63.1</c:v>
                </c:pt>
                <c:pt idx="83">
                  <c:v>60</c:v>
                </c:pt>
                <c:pt idx="84">
                  <c:v>63.3</c:v>
                </c:pt>
                <c:pt idx="85">
                  <c:v>70.5</c:v>
                </c:pt>
                <c:pt idx="86">
                  <c:v>70.400000000000006</c:v>
                </c:pt>
                <c:pt idx="87">
                  <c:v>60.1</c:v>
                </c:pt>
                <c:pt idx="88">
                  <c:v>58.1</c:v>
                </c:pt>
                <c:pt idx="89">
                  <c:v>65</c:v>
                </c:pt>
                <c:pt idx="90">
                  <c:v>75.5</c:v>
                </c:pt>
                <c:pt idx="91">
                  <c:v>90.9</c:v>
                </c:pt>
                <c:pt idx="92">
                  <c:v>98</c:v>
                </c:pt>
                <c:pt idx="93">
                  <c:v>124</c:v>
                </c:pt>
                <c:pt idx="94">
                  <c:v>118</c:v>
                </c:pt>
                <c:pt idx="95">
                  <c:v>58.4</c:v>
                </c:pt>
                <c:pt idx="96">
                  <c:v>43</c:v>
                </c:pt>
                <c:pt idx="97">
                  <c:v>59.5</c:v>
                </c:pt>
                <c:pt idx="98">
                  <c:v>68.2</c:v>
                </c:pt>
                <c:pt idx="99">
                  <c:v>76.099999999999994</c:v>
                </c:pt>
                <c:pt idx="100">
                  <c:v>78.599999999999994</c:v>
                </c:pt>
                <c:pt idx="101">
                  <c:v>77.900000000000006</c:v>
                </c:pt>
                <c:pt idx="102">
                  <c:v>76.2</c:v>
                </c:pt>
                <c:pt idx="103">
                  <c:v>85</c:v>
                </c:pt>
                <c:pt idx="104">
                  <c:v>94</c:v>
                </c:pt>
                <c:pt idx="105">
                  <c:v>102.6</c:v>
                </c:pt>
                <c:pt idx="106">
                  <c:v>89.7</c:v>
                </c:pt>
                <c:pt idx="107">
                  <c:v>94.1</c:v>
                </c:pt>
                <c:pt idx="108">
                  <c:v>102.9</c:v>
                </c:pt>
                <c:pt idx="109">
                  <c:v>93.5</c:v>
                </c:pt>
                <c:pt idx="110">
                  <c:v>92.3</c:v>
                </c:pt>
                <c:pt idx="111">
                  <c:v>88.2</c:v>
                </c:pt>
                <c:pt idx="112">
                  <c:v>94.4</c:v>
                </c:pt>
                <c:pt idx="113">
                  <c:v>94.2</c:v>
                </c:pt>
                <c:pt idx="114">
                  <c:v>105.8</c:v>
                </c:pt>
                <c:pt idx="115">
                  <c:v>97.3</c:v>
                </c:pt>
                <c:pt idx="116">
                  <c:v>98.7</c:v>
                </c:pt>
                <c:pt idx="117">
                  <c:v>103.3</c:v>
                </c:pt>
                <c:pt idx="118">
                  <c:v>97.8</c:v>
                </c:pt>
                <c:pt idx="119">
                  <c:v>73.2</c:v>
                </c:pt>
                <c:pt idx="120">
                  <c:v>48.5</c:v>
                </c:pt>
                <c:pt idx="121">
                  <c:v>57.8</c:v>
                </c:pt>
                <c:pt idx="122">
                  <c:v>46.4</c:v>
                </c:pt>
                <c:pt idx="123">
                  <c:v>42</c:v>
                </c:pt>
                <c:pt idx="124">
                  <c:v>33.200000000000003</c:v>
                </c:pt>
                <c:pt idx="125">
                  <c:v>45.4</c:v>
                </c:pt>
                <c:pt idx="126">
                  <c:v>44.9</c:v>
                </c:pt>
                <c:pt idx="127">
                  <c:v>49.1</c:v>
                </c:pt>
                <c:pt idx="128">
                  <c:v>51.8</c:v>
                </c:pt>
                <c:pt idx="129">
                  <c:v>48.2</c:v>
                </c:pt>
                <c:pt idx="130">
                  <c:v>48.2</c:v>
                </c:pt>
                <c:pt idx="131">
                  <c:v>55.4</c:v>
                </c:pt>
                <c:pt idx="132">
                  <c:v>62.9</c:v>
                </c:pt>
                <c:pt idx="133">
                  <c:v>68</c:v>
                </c:pt>
                <c:pt idx="134">
                  <c:v>69.8</c:v>
                </c:pt>
                <c:pt idx="135">
                  <c:v>59.1</c:v>
                </c:pt>
                <c:pt idx="136">
                  <c:v>54.8</c:v>
                </c:pt>
                <c:pt idx="137">
                  <c:v>59.8</c:v>
                </c:pt>
                <c:pt idx="138">
                  <c:v>56.4</c:v>
                </c:pt>
                <c:pt idx="139">
                  <c:v>57</c:v>
                </c:pt>
                <c:pt idx="140">
                  <c:v>45.8</c:v>
                </c:pt>
                <c:pt idx="141">
                  <c:v>27.8</c:v>
                </c:pt>
                <c:pt idx="142">
                  <c:v>40.9</c:v>
                </c:pt>
                <c:pt idx="143">
                  <c:v>42.5</c:v>
                </c:pt>
                <c:pt idx="144">
                  <c:v>57.8</c:v>
                </c:pt>
                <c:pt idx="145">
                  <c:v>66.099999999999994</c:v>
                </c:pt>
                <c:pt idx="146">
                  <c:v>70.599999999999994</c:v>
                </c:pt>
                <c:pt idx="147">
                  <c:v>77.400000000000006</c:v>
                </c:pt>
                <c:pt idx="148">
                  <c:v>94.5</c:v>
                </c:pt>
                <c:pt idx="149">
                  <c:v>108.7</c:v>
                </c:pt>
                <c:pt idx="150">
                  <c:v>93.2</c:v>
                </c:pt>
                <c:pt idx="151">
                  <c:v>82.8</c:v>
                </c:pt>
                <c:pt idx="152">
                  <c:v>76.099999999999994</c:v>
                </c:pt>
                <c:pt idx="153">
                  <c:v>73.8</c:v>
                </c:pt>
                <c:pt idx="154">
                  <c:v>82.3</c:v>
                </c:pt>
                <c:pt idx="155">
                  <c:v>78.400000000000006</c:v>
                </c:pt>
                <c:pt idx="156">
                  <c:v>77.599999999999994</c:v>
                </c:pt>
                <c:pt idx="157">
                  <c:v>81.7</c:v>
                </c:pt>
                <c:pt idx="158">
                  <c:v>76.2</c:v>
                </c:pt>
                <c:pt idx="159">
                  <c:v>70.7</c:v>
                </c:pt>
                <c:pt idx="160">
                  <c:v>71.8</c:v>
                </c:pt>
                <c:pt idx="161">
                  <c:v>64.599999999999994</c:v>
                </c:pt>
                <c:pt idx="162">
                  <c:v>65.7</c:v>
                </c:pt>
                <c:pt idx="163">
                  <c:v>59.6</c:v>
                </c:pt>
              </c:numCache>
            </c:numRef>
          </c:val>
          <c:smooth val="0"/>
          <c:extLst>
            <c:ext xmlns:c16="http://schemas.microsoft.com/office/drawing/2014/chart" uri="{C3380CC4-5D6E-409C-BE32-E72D297353CC}">
              <c16:uniqueId val="{00000001-5AAE-47C8-8883-8215C4589F81}"/>
            </c:ext>
          </c:extLst>
        </c:ser>
        <c:dLbls>
          <c:showLegendKey val="0"/>
          <c:showVal val="0"/>
          <c:showCatName val="0"/>
          <c:showSerName val="0"/>
          <c:showPercent val="0"/>
          <c:showBubbleSize val="0"/>
        </c:dLbls>
        <c:marker val="1"/>
        <c:smooth val="0"/>
        <c:axId val="27060736"/>
        <c:axId val="27063424"/>
      </c:lineChart>
      <c:catAx>
        <c:axId val="2706073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7063424"/>
        <c:crosses val="autoZero"/>
        <c:auto val="1"/>
        <c:lblAlgn val="ctr"/>
        <c:lblOffset val="100"/>
        <c:tickLblSkip val="20"/>
        <c:noMultiLvlLbl val="0"/>
      </c:catAx>
      <c:valAx>
        <c:axId val="2706342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7060736"/>
        <c:crosses val="autoZero"/>
        <c:crossBetween val="between"/>
      </c:valAx>
      <c:valAx>
        <c:axId val="29492544"/>
        <c:scaling>
          <c:orientation val="minMax"/>
          <c:max val="14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9495680"/>
        <c:crosses val="max"/>
        <c:crossBetween val="between"/>
      </c:valAx>
      <c:catAx>
        <c:axId val="29495680"/>
        <c:scaling>
          <c:orientation val="minMax"/>
        </c:scaling>
        <c:delete val="1"/>
        <c:axPos val="b"/>
        <c:majorTickMark val="out"/>
        <c:minorTickMark val="none"/>
        <c:tickLblPos val="nextTo"/>
        <c:crossAx val="29492544"/>
        <c:crosses val="autoZero"/>
        <c:auto val="1"/>
        <c:lblAlgn val="ctr"/>
        <c:lblOffset val="100"/>
        <c:noMultiLvlLbl val="0"/>
      </c:cat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57395718097221"/>
          <c:y val="0.12248161287531369"/>
          <c:w val="0.87427452766751268"/>
          <c:h val="0.69987482333939022"/>
        </c:manualLayout>
      </c:layout>
      <c:areaChart>
        <c:grouping val="standard"/>
        <c:varyColors val="0"/>
        <c:ser>
          <c:idx val="1"/>
          <c:order val="1"/>
          <c:tx>
            <c:strRef>
              <c:f>'SF.1.B.'!$S$2</c:f>
              <c:strCache>
                <c:ptCount val="1"/>
                <c:pt idx="0">
                  <c:v>Event</c:v>
                </c:pt>
              </c:strCache>
            </c:strRef>
          </c:tx>
          <c:spPr>
            <a:solidFill>
              <a:schemeClr val="bg1">
                <a:lumMod val="85000"/>
              </a:schemeClr>
            </a:solidFill>
            <a:ln w="76200">
              <a:noFill/>
            </a:ln>
            <a:effectLst/>
          </c:spPr>
          <c:val>
            <c:numRef>
              <c:f>'SF.1.B.'!$S$3:$S$166</c:f>
              <c:numCache>
                <c:formatCode>General</c:formatCode>
                <c:ptCount val="1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10000</c:v>
                </c:pt>
                <c:pt idx="23">
                  <c:v>10000</c:v>
                </c:pt>
                <c:pt idx="24">
                  <c:v>10000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10000</c:v>
                </c:pt>
                <c:pt idx="67">
                  <c:v>10000</c:v>
                </c:pt>
                <c:pt idx="68">
                  <c:v>0</c:v>
                </c:pt>
                <c:pt idx="69">
                  <c:v>0</c:v>
                </c:pt>
                <c:pt idx="70">
                  <c:v>0</c:v>
                </c:pt>
                <c:pt idx="71">
                  <c:v>10000</c:v>
                </c:pt>
                <c:pt idx="72">
                  <c:v>10000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10000</c:v>
                </c:pt>
                <c:pt idx="105">
                  <c:v>10000</c:v>
                </c:pt>
                <c:pt idx="106">
                  <c:v>0</c:v>
                </c:pt>
                <c:pt idx="107">
                  <c:v>0</c:v>
                </c:pt>
                <c:pt idx="108">
                  <c:v>0</c:v>
                </c:pt>
                <c:pt idx="109">
                  <c:v>0</c:v>
                </c:pt>
                <c:pt idx="110">
                  <c:v>0</c:v>
                </c:pt>
                <c:pt idx="111">
                  <c:v>0</c:v>
                </c:pt>
                <c:pt idx="112">
                  <c:v>0</c:v>
                </c:pt>
                <c:pt idx="113">
                  <c:v>0</c:v>
                </c:pt>
                <c:pt idx="114">
                  <c:v>0</c:v>
                </c:pt>
                <c:pt idx="115">
                  <c:v>0</c:v>
                </c:pt>
                <c:pt idx="116">
                  <c:v>0</c:v>
                </c:pt>
                <c:pt idx="117">
                  <c:v>0</c:v>
                </c:pt>
                <c:pt idx="118">
                  <c:v>10000</c:v>
                </c:pt>
                <c:pt idx="119">
                  <c:v>10000</c:v>
                </c:pt>
                <c:pt idx="120">
                  <c:v>10000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10000</c:v>
                </c:pt>
                <c:pt idx="139">
                  <c:v>10000</c:v>
                </c:pt>
                <c:pt idx="140">
                  <c:v>0</c:v>
                </c:pt>
                <c:pt idx="141">
                  <c:v>0</c:v>
                </c:pt>
                <c:pt idx="142">
                  <c:v>0</c:v>
                </c:pt>
                <c:pt idx="143">
                  <c:v>0</c:v>
                </c:pt>
                <c:pt idx="144">
                  <c:v>0</c:v>
                </c:pt>
                <c:pt idx="145">
                  <c:v>0</c:v>
                </c:pt>
                <c:pt idx="146">
                  <c:v>0</c:v>
                </c:pt>
                <c:pt idx="147">
                  <c:v>0</c:v>
                </c:pt>
                <c:pt idx="148">
                  <c:v>10000</c:v>
                </c:pt>
                <c:pt idx="149">
                  <c:v>10000</c:v>
                </c:pt>
                <c:pt idx="150">
                  <c:v>0</c:v>
                </c:pt>
                <c:pt idx="151">
                  <c:v>0</c:v>
                </c:pt>
                <c:pt idx="152">
                  <c:v>0</c:v>
                </c:pt>
                <c:pt idx="153">
                  <c:v>0</c:v>
                </c:pt>
                <c:pt idx="154">
                  <c:v>10000</c:v>
                </c:pt>
                <c:pt idx="155">
                  <c:v>10000</c:v>
                </c:pt>
                <c:pt idx="156">
                  <c:v>0</c:v>
                </c:pt>
                <c:pt idx="157">
                  <c:v>0</c:v>
                </c:pt>
                <c:pt idx="158">
                  <c:v>0</c:v>
                </c:pt>
                <c:pt idx="159">
                  <c:v>0</c:v>
                </c:pt>
                <c:pt idx="160">
                  <c:v>0</c:v>
                </c:pt>
                <c:pt idx="161">
                  <c:v>0</c:v>
                </c:pt>
                <c:pt idx="162">
                  <c:v>0</c:v>
                </c:pt>
                <c:pt idx="163">
                  <c:v>0</c:v>
                </c:pt>
              </c:numCache>
            </c:numRef>
          </c:val>
          <c:extLst>
            <c:ext xmlns:c16="http://schemas.microsoft.com/office/drawing/2014/chart" uri="{C3380CC4-5D6E-409C-BE32-E72D297353CC}">
              <c16:uniqueId val="{00000000-5382-4D28-9A42-F31E8877A51D}"/>
            </c:ext>
          </c:extLst>
        </c:ser>
        <c:dLbls>
          <c:showLegendKey val="0"/>
          <c:showVal val="0"/>
          <c:showCatName val="0"/>
          <c:showSerName val="0"/>
          <c:showPercent val="0"/>
          <c:showBubbleSize val="0"/>
        </c:dLbls>
        <c:axId val="29495680"/>
        <c:axId val="29492544"/>
      </c:areaChart>
      <c:lineChart>
        <c:grouping val="standard"/>
        <c:varyColors val="0"/>
        <c:ser>
          <c:idx val="0"/>
          <c:order val="0"/>
          <c:tx>
            <c:strRef>
              <c:f>'SF.1.B.'!$R$2</c:f>
              <c:strCache>
                <c:ptCount val="1"/>
                <c:pt idx="0">
                  <c:v>Oil prices (growth rate)</c:v>
                </c:pt>
              </c:strCache>
            </c:strRef>
          </c:tx>
          <c:spPr>
            <a:ln w="76200" cap="rnd">
              <a:solidFill>
                <a:srgbClr val="002345"/>
              </a:solidFill>
              <a:round/>
            </a:ln>
            <a:effectLst/>
          </c:spPr>
          <c:marker>
            <c:symbol val="none"/>
          </c:marker>
          <c:cat>
            <c:numRef>
              <c:f>'SF.1.B.'!$Q$3:$Q$166</c:f>
              <c:numCache>
                <c:formatCode>[$-409]mmm\-yy;@</c:formatCode>
                <c:ptCount val="164"/>
                <c:pt idx="0">
                  <c:v>31107</c:v>
                </c:pt>
                <c:pt idx="1">
                  <c:v>31199</c:v>
                </c:pt>
                <c:pt idx="2">
                  <c:v>31291</c:v>
                </c:pt>
                <c:pt idx="3">
                  <c:v>31382</c:v>
                </c:pt>
                <c:pt idx="4">
                  <c:v>31472</c:v>
                </c:pt>
                <c:pt idx="5">
                  <c:v>31564</c:v>
                </c:pt>
                <c:pt idx="6">
                  <c:v>31656</c:v>
                </c:pt>
                <c:pt idx="7">
                  <c:v>31747</c:v>
                </c:pt>
                <c:pt idx="8">
                  <c:v>31837</c:v>
                </c:pt>
                <c:pt idx="9">
                  <c:v>31929</c:v>
                </c:pt>
                <c:pt idx="10">
                  <c:v>32021</c:v>
                </c:pt>
                <c:pt idx="11">
                  <c:v>32112</c:v>
                </c:pt>
                <c:pt idx="12">
                  <c:v>32203</c:v>
                </c:pt>
                <c:pt idx="13">
                  <c:v>32295</c:v>
                </c:pt>
                <c:pt idx="14">
                  <c:v>32387</c:v>
                </c:pt>
                <c:pt idx="15">
                  <c:v>32478</c:v>
                </c:pt>
                <c:pt idx="16">
                  <c:v>32568</c:v>
                </c:pt>
                <c:pt idx="17">
                  <c:v>32660</c:v>
                </c:pt>
                <c:pt idx="18">
                  <c:v>32752</c:v>
                </c:pt>
                <c:pt idx="19">
                  <c:v>32843</c:v>
                </c:pt>
                <c:pt idx="20">
                  <c:v>32933</c:v>
                </c:pt>
                <c:pt idx="21">
                  <c:v>33025</c:v>
                </c:pt>
                <c:pt idx="22">
                  <c:v>33117</c:v>
                </c:pt>
                <c:pt idx="23">
                  <c:v>33208</c:v>
                </c:pt>
                <c:pt idx="24">
                  <c:v>33298</c:v>
                </c:pt>
                <c:pt idx="25">
                  <c:v>33390</c:v>
                </c:pt>
                <c:pt idx="26">
                  <c:v>33482</c:v>
                </c:pt>
                <c:pt idx="27">
                  <c:v>33573</c:v>
                </c:pt>
                <c:pt idx="28">
                  <c:v>33664</c:v>
                </c:pt>
                <c:pt idx="29">
                  <c:v>33756</c:v>
                </c:pt>
                <c:pt idx="30">
                  <c:v>33848</c:v>
                </c:pt>
                <c:pt idx="31">
                  <c:v>33939</c:v>
                </c:pt>
                <c:pt idx="32">
                  <c:v>34029</c:v>
                </c:pt>
                <c:pt idx="33">
                  <c:v>34121</c:v>
                </c:pt>
                <c:pt idx="34">
                  <c:v>34213</c:v>
                </c:pt>
                <c:pt idx="35">
                  <c:v>34304</c:v>
                </c:pt>
                <c:pt idx="36">
                  <c:v>34394</c:v>
                </c:pt>
                <c:pt idx="37">
                  <c:v>34486</c:v>
                </c:pt>
                <c:pt idx="38">
                  <c:v>34578</c:v>
                </c:pt>
                <c:pt idx="39">
                  <c:v>34669</c:v>
                </c:pt>
                <c:pt idx="40">
                  <c:v>34759</c:v>
                </c:pt>
                <c:pt idx="41">
                  <c:v>34851</c:v>
                </c:pt>
                <c:pt idx="42">
                  <c:v>34943</c:v>
                </c:pt>
                <c:pt idx="43">
                  <c:v>35034</c:v>
                </c:pt>
                <c:pt idx="44">
                  <c:v>35125</c:v>
                </c:pt>
                <c:pt idx="45">
                  <c:v>35217</c:v>
                </c:pt>
                <c:pt idx="46">
                  <c:v>35309</c:v>
                </c:pt>
                <c:pt idx="47">
                  <c:v>35400</c:v>
                </c:pt>
                <c:pt idx="48">
                  <c:v>35490</c:v>
                </c:pt>
                <c:pt idx="49">
                  <c:v>35582</c:v>
                </c:pt>
                <c:pt idx="50">
                  <c:v>35674</c:v>
                </c:pt>
                <c:pt idx="51">
                  <c:v>35765</c:v>
                </c:pt>
                <c:pt idx="52">
                  <c:v>35855</c:v>
                </c:pt>
                <c:pt idx="53">
                  <c:v>35947</c:v>
                </c:pt>
                <c:pt idx="54">
                  <c:v>36039</c:v>
                </c:pt>
                <c:pt idx="55">
                  <c:v>36130</c:v>
                </c:pt>
                <c:pt idx="56">
                  <c:v>36220</c:v>
                </c:pt>
                <c:pt idx="57">
                  <c:v>36312</c:v>
                </c:pt>
                <c:pt idx="58">
                  <c:v>36404</c:v>
                </c:pt>
                <c:pt idx="59">
                  <c:v>36495</c:v>
                </c:pt>
                <c:pt idx="60">
                  <c:v>36586</c:v>
                </c:pt>
                <c:pt idx="61">
                  <c:v>36678</c:v>
                </c:pt>
                <c:pt idx="62">
                  <c:v>36770</c:v>
                </c:pt>
                <c:pt idx="63">
                  <c:v>36861</c:v>
                </c:pt>
                <c:pt idx="64">
                  <c:v>36951</c:v>
                </c:pt>
                <c:pt idx="65">
                  <c:v>37043</c:v>
                </c:pt>
                <c:pt idx="66">
                  <c:v>37135</c:v>
                </c:pt>
                <c:pt idx="67">
                  <c:v>37226</c:v>
                </c:pt>
                <c:pt idx="68">
                  <c:v>37316</c:v>
                </c:pt>
                <c:pt idx="69">
                  <c:v>37408</c:v>
                </c:pt>
                <c:pt idx="70">
                  <c:v>37500</c:v>
                </c:pt>
                <c:pt idx="71">
                  <c:v>37591</c:v>
                </c:pt>
                <c:pt idx="72">
                  <c:v>37681</c:v>
                </c:pt>
                <c:pt idx="73">
                  <c:v>37773</c:v>
                </c:pt>
                <c:pt idx="74">
                  <c:v>37865</c:v>
                </c:pt>
                <c:pt idx="75">
                  <c:v>37956</c:v>
                </c:pt>
                <c:pt idx="76">
                  <c:v>38047</c:v>
                </c:pt>
                <c:pt idx="77">
                  <c:v>38139</c:v>
                </c:pt>
                <c:pt idx="78">
                  <c:v>38231</c:v>
                </c:pt>
                <c:pt idx="79">
                  <c:v>38322</c:v>
                </c:pt>
                <c:pt idx="80">
                  <c:v>38412</c:v>
                </c:pt>
                <c:pt idx="81">
                  <c:v>38504</c:v>
                </c:pt>
                <c:pt idx="82">
                  <c:v>38596</c:v>
                </c:pt>
                <c:pt idx="83">
                  <c:v>38687</c:v>
                </c:pt>
                <c:pt idx="84">
                  <c:v>38777</c:v>
                </c:pt>
                <c:pt idx="85">
                  <c:v>38869</c:v>
                </c:pt>
                <c:pt idx="86">
                  <c:v>38961</c:v>
                </c:pt>
                <c:pt idx="87">
                  <c:v>39052</c:v>
                </c:pt>
                <c:pt idx="88">
                  <c:v>39142</c:v>
                </c:pt>
                <c:pt idx="89">
                  <c:v>39234</c:v>
                </c:pt>
                <c:pt idx="90">
                  <c:v>39326</c:v>
                </c:pt>
                <c:pt idx="91">
                  <c:v>39417</c:v>
                </c:pt>
                <c:pt idx="92">
                  <c:v>39508</c:v>
                </c:pt>
                <c:pt idx="93">
                  <c:v>39600</c:v>
                </c:pt>
                <c:pt idx="94">
                  <c:v>39692</c:v>
                </c:pt>
                <c:pt idx="95">
                  <c:v>39783</c:v>
                </c:pt>
                <c:pt idx="96">
                  <c:v>39873</c:v>
                </c:pt>
                <c:pt idx="97">
                  <c:v>39965</c:v>
                </c:pt>
                <c:pt idx="98">
                  <c:v>40057</c:v>
                </c:pt>
                <c:pt idx="99">
                  <c:v>40148</c:v>
                </c:pt>
                <c:pt idx="100">
                  <c:v>40238</c:v>
                </c:pt>
                <c:pt idx="101">
                  <c:v>40330</c:v>
                </c:pt>
                <c:pt idx="102">
                  <c:v>40422</c:v>
                </c:pt>
                <c:pt idx="103">
                  <c:v>40513</c:v>
                </c:pt>
                <c:pt idx="104">
                  <c:v>40603</c:v>
                </c:pt>
                <c:pt idx="105">
                  <c:v>40695</c:v>
                </c:pt>
                <c:pt idx="106">
                  <c:v>40787</c:v>
                </c:pt>
                <c:pt idx="107">
                  <c:v>40878</c:v>
                </c:pt>
                <c:pt idx="108">
                  <c:v>40969</c:v>
                </c:pt>
                <c:pt idx="109">
                  <c:v>41061</c:v>
                </c:pt>
                <c:pt idx="110">
                  <c:v>41153</c:v>
                </c:pt>
                <c:pt idx="111">
                  <c:v>41244</c:v>
                </c:pt>
                <c:pt idx="112">
                  <c:v>41334</c:v>
                </c:pt>
                <c:pt idx="113">
                  <c:v>41426</c:v>
                </c:pt>
                <c:pt idx="114">
                  <c:v>41518</c:v>
                </c:pt>
                <c:pt idx="115">
                  <c:v>41609</c:v>
                </c:pt>
                <c:pt idx="116">
                  <c:v>41699</c:v>
                </c:pt>
                <c:pt idx="117">
                  <c:v>41791</c:v>
                </c:pt>
                <c:pt idx="118">
                  <c:v>41883</c:v>
                </c:pt>
                <c:pt idx="119">
                  <c:v>41974</c:v>
                </c:pt>
                <c:pt idx="120">
                  <c:v>42064</c:v>
                </c:pt>
                <c:pt idx="121">
                  <c:v>42156</c:v>
                </c:pt>
                <c:pt idx="122">
                  <c:v>42248</c:v>
                </c:pt>
                <c:pt idx="123">
                  <c:v>42339</c:v>
                </c:pt>
                <c:pt idx="124">
                  <c:v>42430</c:v>
                </c:pt>
                <c:pt idx="125">
                  <c:v>42522</c:v>
                </c:pt>
                <c:pt idx="126">
                  <c:v>42614</c:v>
                </c:pt>
                <c:pt idx="127">
                  <c:v>42705</c:v>
                </c:pt>
                <c:pt idx="128">
                  <c:v>42795</c:v>
                </c:pt>
                <c:pt idx="129">
                  <c:v>42887</c:v>
                </c:pt>
                <c:pt idx="130">
                  <c:v>42979</c:v>
                </c:pt>
                <c:pt idx="131">
                  <c:v>43070</c:v>
                </c:pt>
                <c:pt idx="132">
                  <c:v>43160</c:v>
                </c:pt>
                <c:pt idx="133">
                  <c:v>43252</c:v>
                </c:pt>
                <c:pt idx="134">
                  <c:v>43344</c:v>
                </c:pt>
                <c:pt idx="135">
                  <c:v>43435</c:v>
                </c:pt>
                <c:pt idx="136">
                  <c:v>43525</c:v>
                </c:pt>
                <c:pt idx="137">
                  <c:v>43617</c:v>
                </c:pt>
                <c:pt idx="138">
                  <c:v>43709</c:v>
                </c:pt>
                <c:pt idx="139">
                  <c:v>43800</c:v>
                </c:pt>
                <c:pt idx="140">
                  <c:v>43891</c:v>
                </c:pt>
                <c:pt idx="141">
                  <c:v>43983</c:v>
                </c:pt>
                <c:pt idx="142">
                  <c:v>44075</c:v>
                </c:pt>
                <c:pt idx="143">
                  <c:v>44166</c:v>
                </c:pt>
                <c:pt idx="144">
                  <c:v>44256</c:v>
                </c:pt>
                <c:pt idx="145">
                  <c:v>44348</c:v>
                </c:pt>
                <c:pt idx="146">
                  <c:v>44440</c:v>
                </c:pt>
                <c:pt idx="147">
                  <c:v>44531</c:v>
                </c:pt>
                <c:pt idx="148">
                  <c:v>44621</c:v>
                </c:pt>
                <c:pt idx="149">
                  <c:v>44713</c:v>
                </c:pt>
                <c:pt idx="150">
                  <c:v>44805</c:v>
                </c:pt>
                <c:pt idx="151">
                  <c:v>44896</c:v>
                </c:pt>
                <c:pt idx="152">
                  <c:v>44986</c:v>
                </c:pt>
                <c:pt idx="153">
                  <c:v>45078</c:v>
                </c:pt>
                <c:pt idx="154">
                  <c:v>45170</c:v>
                </c:pt>
                <c:pt idx="155">
                  <c:v>45261</c:v>
                </c:pt>
                <c:pt idx="156">
                  <c:v>45352</c:v>
                </c:pt>
                <c:pt idx="157">
                  <c:v>45444</c:v>
                </c:pt>
                <c:pt idx="158">
                  <c:v>45536</c:v>
                </c:pt>
                <c:pt idx="159">
                  <c:v>45627</c:v>
                </c:pt>
                <c:pt idx="160">
                  <c:v>45717</c:v>
                </c:pt>
                <c:pt idx="161">
                  <c:v>45809</c:v>
                </c:pt>
                <c:pt idx="162">
                  <c:v>45901</c:v>
                </c:pt>
                <c:pt idx="163">
                  <c:v>45992</c:v>
                </c:pt>
              </c:numCache>
            </c:numRef>
          </c:cat>
          <c:val>
            <c:numRef>
              <c:f>'SF.1.B.'!$R$3:$R$166</c:f>
              <c:numCache>
                <c:formatCode>0</c:formatCode>
                <c:ptCount val="164"/>
                <c:pt idx="1">
                  <c:v>3</c:v>
                </c:pt>
                <c:pt idx="2">
                  <c:v>-0.2</c:v>
                </c:pt>
                <c:pt idx="3">
                  <c:v>5</c:v>
                </c:pt>
                <c:pt idx="4">
                  <c:v>-41.8</c:v>
                </c:pt>
                <c:pt idx="5">
                  <c:v>-18.100000000000001</c:v>
                </c:pt>
                <c:pt idx="6">
                  <c:v>-0.4</c:v>
                </c:pt>
                <c:pt idx="7">
                  <c:v>11</c:v>
                </c:pt>
                <c:pt idx="8">
                  <c:v>18.5</c:v>
                </c:pt>
                <c:pt idx="9">
                  <c:v>6.2</c:v>
                </c:pt>
                <c:pt idx="10">
                  <c:v>5.3</c:v>
                </c:pt>
                <c:pt idx="11">
                  <c:v>-8.4</c:v>
                </c:pt>
                <c:pt idx="12">
                  <c:v>-10.5</c:v>
                </c:pt>
                <c:pt idx="13">
                  <c:v>3.4</c:v>
                </c:pt>
                <c:pt idx="14">
                  <c:v>-12.3</c:v>
                </c:pt>
                <c:pt idx="15">
                  <c:v>-3.2</c:v>
                </c:pt>
                <c:pt idx="16">
                  <c:v>25.5</c:v>
                </c:pt>
                <c:pt idx="17">
                  <c:v>10.5</c:v>
                </c:pt>
                <c:pt idx="18">
                  <c:v>-5.4</c:v>
                </c:pt>
                <c:pt idx="19">
                  <c:v>5.6</c:v>
                </c:pt>
                <c:pt idx="20">
                  <c:v>6.8</c:v>
                </c:pt>
                <c:pt idx="21">
                  <c:v>-17.600000000000001</c:v>
                </c:pt>
                <c:pt idx="22">
                  <c:v>48.1</c:v>
                </c:pt>
                <c:pt idx="23">
                  <c:v>20.2</c:v>
                </c:pt>
                <c:pt idx="24">
                  <c:v>-31.6</c:v>
                </c:pt>
                <c:pt idx="25">
                  <c:v>-4.7</c:v>
                </c:pt>
                <c:pt idx="26">
                  <c:v>4.3</c:v>
                </c:pt>
                <c:pt idx="27">
                  <c:v>0.4</c:v>
                </c:pt>
                <c:pt idx="28">
                  <c:v>-13</c:v>
                </c:pt>
                <c:pt idx="29">
                  <c:v>12</c:v>
                </c:pt>
                <c:pt idx="30">
                  <c:v>2.2999999999999998</c:v>
                </c:pt>
                <c:pt idx="31">
                  <c:v>-5.5</c:v>
                </c:pt>
                <c:pt idx="32">
                  <c:v>-3.2</c:v>
                </c:pt>
                <c:pt idx="33">
                  <c:v>-0.3</c:v>
                </c:pt>
                <c:pt idx="34">
                  <c:v>-9.9</c:v>
                </c:pt>
                <c:pt idx="35">
                  <c:v>-7.6</c:v>
                </c:pt>
                <c:pt idx="36">
                  <c:v>-10</c:v>
                </c:pt>
                <c:pt idx="37">
                  <c:v>20</c:v>
                </c:pt>
                <c:pt idx="38">
                  <c:v>4.0999999999999996</c:v>
                </c:pt>
                <c:pt idx="39">
                  <c:v>-4.5</c:v>
                </c:pt>
                <c:pt idx="40">
                  <c:v>4</c:v>
                </c:pt>
                <c:pt idx="41">
                  <c:v>5.4</c:v>
                </c:pt>
                <c:pt idx="42">
                  <c:v>-7.7</c:v>
                </c:pt>
                <c:pt idx="43">
                  <c:v>1.7</c:v>
                </c:pt>
                <c:pt idx="44">
                  <c:v>8.9</c:v>
                </c:pt>
                <c:pt idx="45">
                  <c:v>10</c:v>
                </c:pt>
                <c:pt idx="46">
                  <c:v>3.1</c:v>
                </c:pt>
                <c:pt idx="47">
                  <c:v>10</c:v>
                </c:pt>
                <c:pt idx="48">
                  <c:v>-7.6</c:v>
                </c:pt>
                <c:pt idx="49">
                  <c:v>-12.7</c:v>
                </c:pt>
                <c:pt idx="50">
                  <c:v>-0.6</c:v>
                </c:pt>
                <c:pt idx="51">
                  <c:v>0.7</c:v>
                </c:pt>
                <c:pt idx="52">
                  <c:v>-20</c:v>
                </c:pt>
                <c:pt idx="53">
                  <c:v>-8</c:v>
                </c:pt>
                <c:pt idx="54">
                  <c:v>-3.6</c:v>
                </c:pt>
                <c:pt idx="55">
                  <c:v>-9.1</c:v>
                </c:pt>
                <c:pt idx="56">
                  <c:v>1.6</c:v>
                </c:pt>
                <c:pt idx="57">
                  <c:v>35.4</c:v>
                </c:pt>
                <c:pt idx="58">
                  <c:v>23.1</c:v>
                </c:pt>
                <c:pt idx="59">
                  <c:v>13</c:v>
                </c:pt>
                <c:pt idx="60">
                  <c:v>17.3</c:v>
                </c:pt>
                <c:pt idx="61">
                  <c:v>-0.1</c:v>
                </c:pt>
                <c:pt idx="62">
                  <c:v>9.9</c:v>
                </c:pt>
                <c:pt idx="63">
                  <c:v>1.1000000000000001</c:v>
                </c:pt>
                <c:pt idx="64">
                  <c:v>-9.9</c:v>
                </c:pt>
                <c:pt idx="65">
                  <c:v>-3.2</c:v>
                </c:pt>
                <c:pt idx="66">
                  <c:v>-4.5999999999999996</c:v>
                </c:pt>
                <c:pt idx="67">
                  <c:v>-23.3</c:v>
                </c:pt>
                <c:pt idx="68">
                  <c:v>5.9</c:v>
                </c:pt>
                <c:pt idx="69">
                  <c:v>21.6</c:v>
                </c:pt>
                <c:pt idx="70">
                  <c:v>7.8</c:v>
                </c:pt>
                <c:pt idx="71">
                  <c:v>-0.5</c:v>
                </c:pt>
                <c:pt idx="72">
                  <c:v>21.1</c:v>
                </c:pt>
                <c:pt idx="73">
                  <c:v>-14.9</c:v>
                </c:pt>
                <c:pt idx="74">
                  <c:v>4.0999999999999996</c:v>
                </c:pt>
                <c:pt idx="75">
                  <c:v>3.2</c:v>
                </c:pt>
                <c:pt idx="76">
                  <c:v>13</c:v>
                </c:pt>
                <c:pt idx="77">
                  <c:v>8.6999999999999993</c:v>
                </c:pt>
                <c:pt idx="78">
                  <c:v>14.4</c:v>
                </c:pt>
                <c:pt idx="79">
                  <c:v>10.1</c:v>
                </c:pt>
                <c:pt idx="80">
                  <c:v>2.9</c:v>
                </c:pt>
                <c:pt idx="81">
                  <c:v>6.7</c:v>
                </c:pt>
                <c:pt idx="82">
                  <c:v>18.899999999999999</c:v>
                </c:pt>
                <c:pt idx="83">
                  <c:v>-4.8</c:v>
                </c:pt>
                <c:pt idx="84">
                  <c:v>5.5</c:v>
                </c:pt>
                <c:pt idx="85">
                  <c:v>11.3</c:v>
                </c:pt>
                <c:pt idx="86">
                  <c:v>-0.1</c:v>
                </c:pt>
                <c:pt idx="87">
                  <c:v>-14.7</c:v>
                </c:pt>
                <c:pt idx="88">
                  <c:v>-3.3</c:v>
                </c:pt>
                <c:pt idx="89">
                  <c:v>11.8</c:v>
                </c:pt>
                <c:pt idx="90">
                  <c:v>16.2</c:v>
                </c:pt>
                <c:pt idx="91">
                  <c:v>20.3</c:v>
                </c:pt>
                <c:pt idx="92">
                  <c:v>7.8</c:v>
                </c:pt>
                <c:pt idx="93">
                  <c:v>26.6</c:v>
                </c:pt>
                <c:pt idx="94">
                  <c:v>-4.8</c:v>
                </c:pt>
                <c:pt idx="95">
                  <c:v>-50.5</c:v>
                </c:pt>
                <c:pt idx="96">
                  <c:v>-26.4</c:v>
                </c:pt>
                <c:pt idx="97">
                  <c:v>38.6</c:v>
                </c:pt>
                <c:pt idx="98">
                  <c:v>14.5</c:v>
                </c:pt>
                <c:pt idx="99">
                  <c:v>11.5</c:v>
                </c:pt>
                <c:pt idx="100">
                  <c:v>3.4</c:v>
                </c:pt>
                <c:pt idx="101">
                  <c:v>-0.9</c:v>
                </c:pt>
                <c:pt idx="102">
                  <c:v>-2.2000000000000002</c:v>
                </c:pt>
                <c:pt idx="103">
                  <c:v>11.6</c:v>
                </c:pt>
                <c:pt idx="104">
                  <c:v>10.5</c:v>
                </c:pt>
                <c:pt idx="105">
                  <c:v>9.1</c:v>
                </c:pt>
                <c:pt idx="106">
                  <c:v>-12.5</c:v>
                </c:pt>
                <c:pt idx="107">
                  <c:v>4.9000000000000004</c:v>
                </c:pt>
                <c:pt idx="108">
                  <c:v>9.4</c:v>
                </c:pt>
                <c:pt idx="109">
                  <c:v>-9.1</c:v>
                </c:pt>
                <c:pt idx="110">
                  <c:v>-1.3</c:v>
                </c:pt>
                <c:pt idx="111">
                  <c:v>-4.5</c:v>
                </c:pt>
                <c:pt idx="112">
                  <c:v>7</c:v>
                </c:pt>
                <c:pt idx="113">
                  <c:v>-0.1</c:v>
                </c:pt>
                <c:pt idx="114">
                  <c:v>12.3</c:v>
                </c:pt>
                <c:pt idx="115">
                  <c:v>-8</c:v>
                </c:pt>
                <c:pt idx="116">
                  <c:v>1.4</c:v>
                </c:pt>
                <c:pt idx="117">
                  <c:v>4.7</c:v>
                </c:pt>
                <c:pt idx="118">
                  <c:v>-5.4</c:v>
                </c:pt>
                <c:pt idx="119">
                  <c:v>-25.2</c:v>
                </c:pt>
                <c:pt idx="120">
                  <c:v>-33.700000000000003</c:v>
                </c:pt>
                <c:pt idx="121">
                  <c:v>19.2</c:v>
                </c:pt>
                <c:pt idx="122">
                  <c:v>-19.8</c:v>
                </c:pt>
                <c:pt idx="123">
                  <c:v>-9.6</c:v>
                </c:pt>
                <c:pt idx="124">
                  <c:v>-20.9</c:v>
                </c:pt>
                <c:pt idx="125">
                  <c:v>36.799999999999997</c:v>
                </c:pt>
                <c:pt idx="126">
                  <c:v>-1.2</c:v>
                </c:pt>
                <c:pt idx="127">
                  <c:v>9.6</c:v>
                </c:pt>
                <c:pt idx="128">
                  <c:v>5.4</c:v>
                </c:pt>
                <c:pt idx="129">
                  <c:v>-6.8</c:v>
                </c:pt>
                <c:pt idx="130">
                  <c:v>-0.2</c:v>
                </c:pt>
                <c:pt idx="131">
                  <c:v>15</c:v>
                </c:pt>
                <c:pt idx="132">
                  <c:v>13.6</c:v>
                </c:pt>
                <c:pt idx="133">
                  <c:v>8.1999999999999993</c:v>
                </c:pt>
                <c:pt idx="134">
                  <c:v>2.5</c:v>
                </c:pt>
                <c:pt idx="135">
                  <c:v>-15.3</c:v>
                </c:pt>
                <c:pt idx="136">
                  <c:v>-7.2</c:v>
                </c:pt>
                <c:pt idx="137">
                  <c:v>9</c:v>
                </c:pt>
                <c:pt idx="138">
                  <c:v>-5.7</c:v>
                </c:pt>
                <c:pt idx="139">
                  <c:v>1</c:v>
                </c:pt>
                <c:pt idx="140">
                  <c:v>-19.7</c:v>
                </c:pt>
                <c:pt idx="141">
                  <c:v>-39.200000000000003</c:v>
                </c:pt>
                <c:pt idx="142">
                  <c:v>47.1</c:v>
                </c:pt>
                <c:pt idx="143">
                  <c:v>3.8</c:v>
                </c:pt>
                <c:pt idx="144">
                  <c:v>36.1</c:v>
                </c:pt>
                <c:pt idx="145">
                  <c:v>14.4</c:v>
                </c:pt>
                <c:pt idx="146">
                  <c:v>6.9</c:v>
                </c:pt>
                <c:pt idx="147">
                  <c:v>9.6999999999999993</c:v>
                </c:pt>
                <c:pt idx="148">
                  <c:v>22</c:v>
                </c:pt>
                <c:pt idx="149">
                  <c:v>15.1</c:v>
                </c:pt>
                <c:pt idx="150">
                  <c:v>-14.3</c:v>
                </c:pt>
                <c:pt idx="151">
                  <c:v>-11.2</c:v>
                </c:pt>
                <c:pt idx="152">
                  <c:v>-8.1</c:v>
                </c:pt>
                <c:pt idx="153">
                  <c:v>-3</c:v>
                </c:pt>
                <c:pt idx="154">
                  <c:v>11.6</c:v>
                </c:pt>
                <c:pt idx="155">
                  <c:v>-4.7</c:v>
                </c:pt>
                <c:pt idx="156">
                  <c:v>-1.1000000000000001</c:v>
                </c:pt>
                <c:pt idx="157">
                  <c:v>5.4</c:v>
                </c:pt>
                <c:pt idx="158">
                  <c:v>-6.7</c:v>
                </c:pt>
                <c:pt idx="159">
                  <c:v>-7.3</c:v>
                </c:pt>
                <c:pt idx="160">
                  <c:v>1.6</c:v>
                </c:pt>
                <c:pt idx="161">
                  <c:v>-10</c:v>
                </c:pt>
                <c:pt idx="162">
                  <c:v>1.7</c:v>
                </c:pt>
                <c:pt idx="163">
                  <c:v>-9.3000000000000007</c:v>
                </c:pt>
              </c:numCache>
            </c:numRef>
          </c:val>
          <c:smooth val="0"/>
          <c:extLst>
            <c:ext xmlns:c16="http://schemas.microsoft.com/office/drawing/2014/chart" uri="{C3380CC4-5D6E-409C-BE32-E72D297353CC}">
              <c16:uniqueId val="{00000001-5382-4D28-9A42-F31E8877A51D}"/>
            </c:ext>
          </c:extLst>
        </c:ser>
        <c:dLbls>
          <c:showLegendKey val="0"/>
          <c:showVal val="0"/>
          <c:showCatName val="0"/>
          <c:showSerName val="0"/>
          <c:showPercent val="0"/>
          <c:showBubbleSize val="0"/>
        </c:dLbls>
        <c:marker val="1"/>
        <c:smooth val="0"/>
        <c:axId val="27060736"/>
        <c:axId val="27063424"/>
      </c:lineChart>
      <c:dateAx>
        <c:axId val="27060736"/>
        <c:scaling>
          <c:orientation val="minMax"/>
        </c:scaling>
        <c:delete val="0"/>
        <c:axPos val="b"/>
        <c:numFmt formatCode="yy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7063424"/>
        <c:crosses val="autoZero"/>
        <c:auto val="1"/>
        <c:lblOffset val="100"/>
        <c:baseTimeUnit val="months"/>
        <c:majorUnit val="60"/>
        <c:majorTimeUnit val="months"/>
      </c:dateAx>
      <c:valAx>
        <c:axId val="2706342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7060736"/>
        <c:crosses val="autoZero"/>
        <c:crossBetween val="between"/>
      </c:valAx>
      <c:valAx>
        <c:axId val="29492544"/>
        <c:scaling>
          <c:orientation val="minMax"/>
          <c:max val="14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9495680"/>
        <c:crosses val="max"/>
        <c:crossBetween val="between"/>
      </c:valAx>
      <c:catAx>
        <c:axId val="29495680"/>
        <c:scaling>
          <c:orientation val="minMax"/>
        </c:scaling>
        <c:delete val="1"/>
        <c:axPos val="b"/>
        <c:majorTickMark val="out"/>
        <c:minorTickMark val="none"/>
        <c:tickLblPos val="nextTo"/>
        <c:crossAx val="29492544"/>
        <c:crosses val="autoZero"/>
        <c:auto val="1"/>
        <c:lblAlgn val="ctr"/>
        <c:lblOffset val="100"/>
        <c:noMultiLvlLbl val="0"/>
      </c:cat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40866792477387"/>
          <c:y val="0.12614461653831732"/>
          <c:w val="0.86443981692371097"/>
          <c:h val="0.69621181967638679"/>
        </c:manualLayout>
      </c:layout>
      <c:areaChart>
        <c:grouping val="standard"/>
        <c:varyColors val="0"/>
        <c:ser>
          <c:idx val="1"/>
          <c:order val="1"/>
          <c:tx>
            <c:strRef>
              <c:f>'SF.1.C.'!$S$2</c:f>
              <c:strCache>
                <c:ptCount val="1"/>
                <c:pt idx="0">
                  <c:v>Event</c:v>
                </c:pt>
              </c:strCache>
            </c:strRef>
          </c:tx>
          <c:spPr>
            <a:solidFill>
              <a:schemeClr val="bg1">
                <a:lumMod val="85000"/>
              </a:schemeClr>
            </a:solidFill>
            <a:ln w="76200">
              <a:noFill/>
            </a:ln>
            <a:effectLst/>
          </c:spPr>
          <c:val>
            <c:numRef>
              <c:f>'SF.1.C.'!$S$3:$S$166</c:f>
              <c:numCache>
                <c:formatCode>General</c:formatCode>
                <c:ptCount val="1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10000</c:v>
                </c:pt>
                <c:pt idx="23">
                  <c:v>10000</c:v>
                </c:pt>
                <c:pt idx="24">
                  <c:v>10000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10000</c:v>
                </c:pt>
                <c:pt idx="67">
                  <c:v>10000</c:v>
                </c:pt>
                <c:pt idx="68">
                  <c:v>0</c:v>
                </c:pt>
                <c:pt idx="69">
                  <c:v>0</c:v>
                </c:pt>
                <c:pt idx="70">
                  <c:v>0</c:v>
                </c:pt>
                <c:pt idx="71">
                  <c:v>10000</c:v>
                </c:pt>
                <c:pt idx="72">
                  <c:v>10000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10000</c:v>
                </c:pt>
                <c:pt idx="105">
                  <c:v>10000</c:v>
                </c:pt>
                <c:pt idx="106">
                  <c:v>0</c:v>
                </c:pt>
                <c:pt idx="107">
                  <c:v>0</c:v>
                </c:pt>
                <c:pt idx="108">
                  <c:v>0</c:v>
                </c:pt>
                <c:pt idx="109">
                  <c:v>0</c:v>
                </c:pt>
                <c:pt idx="110">
                  <c:v>0</c:v>
                </c:pt>
                <c:pt idx="111">
                  <c:v>0</c:v>
                </c:pt>
                <c:pt idx="112">
                  <c:v>0</c:v>
                </c:pt>
                <c:pt idx="113">
                  <c:v>0</c:v>
                </c:pt>
                <c:pt idx="114">
                  <c:v>0</c:v>
                </c:pt>
                <c:pt idx="115">
                  <c:v>0</c:v>
                </c:pt>
                <c:pt idx="116">
                  <c:v>0</c:v>
                </c:pt>
                <c:pt idx="117">
                  <c:v>0</c:v>
                </c:pt>
                <c:pt idx="118">
                  <c:v>10000</c:v>
                </c:pt>
                <c:pt idx="119">
                  <c:v>10000</c:v>
                </c:pt>
                <c:pt idx="120">
                  <c:v>10000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10000</c:v>
                </c:pt>
                <c:pt idx="139">
                  <c:v>10000</c:v>
                </c:pt>
                <c:pt idx="140">
                  <c:v>0</c:v>
                </c:pt>
                <c:pt idx="141">
                  <c:v>0</c:v>
                </c:pt>
                <c:pt idx="142">
                  <c:v>0</c:v>
                </c:pt>
                <c:pt idx="143">
                  <c:v>0</c:v>
                </c:pt>
                <c:pt idx="144">
                  <c:v>0</c:v>
                </c:pt>
                <c:pt idx="145">
                  <c:v>0</c:v>
                </c:pt>
                <c:pt idx="146">
                  <c:v>0</c:v>
                </c:pt>
                <c:pt idx="147">
                  <c:v>0</c:v>
                </c:pt>
                <c:pt idx="148">
                  <c:v>10000</c:v>
                </c:pt>
                <c:pt idx="149">
                  <c:v>10000</c:v>
                </c:pt>
                <c:pt idx="150">
                  <c:v>0</c:v>
                </c:pt>
                <c:pt idx="151">
                  <c:v>0</c:v>
                </c:pt>
                <c:pt idx="152">
                  <c:v>0</c:v>
                </c:pt>
                <c:pt idx="153">
                  <c:v>0</c:v>
                </c:pt>
                <c:pt idx="154">
                  <c:v>10000</c:v>
                </c:pt>
                <c:pt idx="155">
                  <c:v>10000</c:v>
                </c:pt>
                <c:pt idx="156">
                  <c:v>0</c:v>
                </c:pt>
                <c:pt idx="157">
                  <c:v>0</c:v>
                </c:pt>
                <c:pt idx="158">
                  <c:v>0</c:v>
                </c:pt>
                <c:pt idx="159">
                  <c:v>0</c:v>
                </c:pt>
                <c:pt idx="160">
                  <c:v>0</c:v>
                </c:pt>
                <c:pt idx="161">
                  <c:v>0</c:v>
                </c:pt>
                <c:pt idx="162">
                  <c:v>0</c:v>
                </c:pt>
                <c:pt idx="163">
                  <c:v>0</c:v>
                </c:pt>
              </c:numCache>
            </c:numRef>
          </c:val>
          <c:extLst>
            <c:ext xmlns:c16="http://schemas.microsoft.com/office/drawing/2014/chart" uri="{C3380CC4-5D6E-409C-BE32-E72D297353CC}">
              <c16:uniqueId val="{00000000-87AB-4A21-B425-D3FD2C251E43}"/>
            </c:ext>
          </c:extLst>
        </c:ser>
        <c:dLbls>
          <c:showLegendKey val="0"/>
          <c:showVal val="0"/>
          <c:showCatName val="0"/>
          <c:showSerName val="0"/>
          <c:showPercent val="0"/>
          <c:showBubbleSize val="0"/>
        </c:dLbls>
        <c:axId val="29495680"/>
        <c:axId val="29492544"/>
      </c:areaChart>
      <c:lineChart>
        <c:grouping val="standard"/>
        <c:varyColors val="0"/>
        <c:ser>
          <c:idx val="0"/>
          <c:order val="0"/>
          <c:tx>
            <c:strRef>
              <c:f>'SF.1.C.'!$R$2</c:f>
              <c:strCache>
                <c:ptCount val="1"/>
                <c:pt idx="0">
                  <c:v>Geopolitical risk index (threats)</c:v>
                </c:pt>
              </c:strCache>
            </c:strRef>
          </c:tx>
          <c:spPr>
            <a:ln w="76200" cap="rnd">
              <a:solidFill>
                <a:srgbClr val="002345"/>
              </a:solidFill>
              <a:round/>
            </a:ln>
            <a:effectLst/>
          </c:spPr>
          <c:marker>
            <c:symbol val="none"/>
          </c:marker>
          <c:cat>
            <c:numLit>
              <c:formatCode>General</c:formatCode>
              <c:ptCount val="164"/>
              <c:pt idx="0">
                <c:v>1985</c:v>
              </c:pt>
              <c:pt idx="1">
                <c:v>1985</c:v>
              </c:pt>
              <c:pt idx="2">
                <c:v>1985</c:v>
              </c:pt>
              <c:pt idx="3">
                <c:v>1985</c:v>
              </c:pt>
              <c:pt idx="4">
                <c:v>1986</c:v>
              </c:pt>
              <c:pt idx="5">
                <c:v>1986</c:v>
              </c:pt>
              <c:pt idx="6">
                <c:v>1986</c:v>
              </c:pt>
              <c:pt idx="7">
                <c:v>1986</c:v>
              </c:pt>
              <c:pt idx="8">
                <c:v>1987</c:v>
              </c:pt>
              <c:pt idx="9">
                <c:v>1987</c:v>
              </c:pt>
              <c:pt idx="10">
                <c:v>1987</c:v>
              </c:pt>
              <c:pt idx="11">
                <c:v>1987</c:v>
              </c:pt>
              <c:pt idx="12">
                <c:v>1988</c:v>
              </c:pt>
              <c:pt idx="13">
                <c:v>1988</c:v>
              </c:pt>
              <c:pt idx="14">
                <c:v>1988</c:v>
              </c:pt>
              <c:pt idx="15">
                <c:v>1988</c:v>
              </c:pt>
              <c:pt idx="16">
                <c:v>1989</c:v>
              </c:pt>
              <c:pt idx="17">
                <c:v>1989</c:v>
              </c:pt>
              <c:pt idx="18">
                <c:v>1989</c:v>
              </c:pt>
              <c:pt idx="19">
                <c:v>1989</c:v>
              </c:pt>
              <c:pt idx="20">
                <c:v>1990</c:v>
              </c:pt>
              <c:pt idx="21">
                <c:v>1990</c:v>
              </c:pt>
              <c:pt idx="22">
                <c:v>1990</c:v>
              </c:pt>
              <c:pt idx="23">
                <c:v>1990</c:v>
              </c:pt>
              <c:pt idx="24">
                <c:v>1991</c:v>
              </c:pt>
              <c:pt idx="25">
                <c:v>1991</c:v>
              </c:pt>
              <c:pt idx="26">
                <c:v>1991</c:v>
              </c:pt>
              <c:pt idx="27">
                <c:v>1991</c:v>
              </c:pt>
              <c:pt idx="28">
                <c:v>1992</c:v>
              </c:pt>
              <c:pt idx="29">
                <c:v>1992</c:v>
              </c:pt>
              <c:pt idx="30">
                <c:v>1992</c:v>
              </c:pt>
              <c:pt idx="31">
                <c:v>1992</c:v>
              </c:pt>
              <c:pt idx="32">
                <c:v>1993</c:v>
              </c:pt>
              <c:pt idx="33">
                <c:v>1993</c:v>
              </c:pt>
              <c:pt idx="34">
                <c:v>1993</c:v>
              </c:pt>
              <c:pt idx="35">
                <c:v>1993</c:v>
              </c:pt>
              <c:pt idx="36">
                <c:v>1994</c:v>
              </c:pt>
              <c:pt idx="37">
                <c:v>1994</c:v>
              </c:pt>
              <c:pt idx="38">
                <c:v>1994</c:v>
              </c:pt>
              <c:pt idx="39">
                <c:v>1994</c:v>
              </c:pt>
              <c:pt idx="40">
                <c:v>1995</c:v>
              </c:pt>
              <c:pt idx="41">
                <c:v>1995</c:v>
              </c:pt>
              <c:pt idx="42">
                <c:v>1995</c:v>
              </c:pt>
              <c:pt idx="43">
                <c:v>1995</c:v>
              </c:pt>
              <c:pt idx="44">
                <c:v>1996</c:v>
              </c:pt>
              <c:pt idx="45">
                <c:v>1996</c:v>
              </c:pt>
              <c:pt idx="46">
                <c:v>1996</c:v>
              </c:pt>
              <c:pt idx="47">
                <c:v>1996</c:v>
              </c:pt>
              <c:pt idx="48">
                <c:v>1997</c:v>
              </c:pt>
              <c:pt idx="49">
                <c:v>1997</c:v>
              </c:pt>
              <c:pt idx="50">
                <c:v>1997</c:v>
              </c:pt>
              <c:pt idx="51">
                <c:v>1997</c:v>
              </c:pt>
              <c:pt idx="52">
                <c:v>1998</c:v>
              </c:pt>
              <c:pt idx="53">
                <c:v>1998</c:v>
              </c:pt>
              <c:pt idx="54">
                <c:v>1998</c:v>
              </c:pt>
              <c:pt idx="55">
                <c:v>1998</c:v>
              </c:pt>
              <c:pt idx="56">
                <c:v>1999</c:v>
              </c:pt>
              <c:pt idx="57">
                <c:v>1999</c:v>
              </c:pt>
              <c:pt idx="58">
                <c:v>1999</c:v>
              </c:pt>
              <c:pt idx="59">
                <c:v>1999</c:v>
              </c:pt>
              <c:pt idx="60">
                <c:v>2000</c:v>
              </c:pt>
              <c:pt idx="61">
                <c:v>2000</c:v>
              </c:pt>
              <c:pt idx="62">
                <c:v>2000</c:v>
              </c:pt>
              <c:pt idx="63">
                <c:v>2000</c:v>
              </c:pt>
              <c:pt idx="64">
                <c:v>2001</c:v>
              </c:pt>
              <c:pt idx="65">
                <c:v>2001</c:v>
              </c:pt>
              <c:pt idx="66">
                <c:v>2001</c:v>
              </c:pt>
              <c:pt idx="67">
                <c:v>2001</c:v>
              </c:pt>
              <c:pt idx="68">
                <c:v>2002</c:v>
              </c:pt>
              <c:pt idx="69">
                <c:v>2002</c:v>
              </c:pt>
              <c:pt idx="70">
                <c:v>2002</c:v>
              </c:pt>
              <c:pt idx="71">
                <c:v>2002</c:v>
              </c:pt>
              <c:pt idx="72">
                <c:v>2003</c:v>
              </c:pt>
              <c:pt idx="73">
                <c:v>2003</c:v>
              </c:pt>
              <c:pt idx="74">
                <c:v>2003</c:v>
              </c:pt>
              <c:pt idx="75">
                <c:v>2003</c:v>
              </c:pt>
              <c:pt idx="76">
                <c:v>2004</c:v>
              </c:pt>
              <c:pt idx="77">
                <c:v>2004</c:v>
              </c:pt>
              <c:pt idx="78">
                <c:v>2004</c:v>
              </c:pt>
              <c:pt idx="79">
                <c:v>2004</c:v>
              </c:pt>
              <c:pt idx="80">
                <c:v>2005</c:v>
              </c:pt>
              <c:pt idx="81">
                <c:v>2005</c:v>
              </c:pt>
              <c:pt idx="82">
                <c:v>2005</c:v>
              </c:pt>
              <c:pt idx="83">
                <c:v>2005</c:v>
              </c:pt>
              <c:pt idx="84">
                <c:v>2006</c:v>
              </c:pt>
              <c:pt idx="85">
                <c:v>2006</c:v>
              </c:pt>
              <c:pt idx="86">
                <c:v>2006</c:v>
              </c:pt>
              <c:pt idx="87">
                <c:v>2006</c:v>
              </c:pt>
              <c:pt idx="88">
                <c:v>2007</c:v>
              </c:pt>
              <c:pt idx="89">
                <c:v>2007</c:v>
              </c:pt>
              <c:pt idx="90">
                <c:v>2007</c:v>
              </c:pt>
              <c:pt idx="91">
                <c:v>2007</c:v>
              </c:pt>
              <c:pt idx="92">
                <c:v>2008</c:v>
              </c:pt>
              <c:pt idx="93">
                <c:v>2008</c:v>
              </c:pt>
              <c:pt idx="94">
                <c:v>2008</c:v>
              </c:pt>
              <c:pt idx="95">
                <c:v>2008</c:v>
              </c:pt>
              <c:pt idx="96">
                <c:v>2009</c:v>
              </c:pt>
              <c:pt idx="97">
                <c:v>2009</c:v>
              </c:pt>
              <c:pt idx="98">
                <c:v>2009</c:v>
              </c:pt>
              <c:pt idx="99">
                <c:v>2009</c:v>
              </c:pt>
              <c:pt idx="100">
                <c:v>2010</c:v>
              </c:pt>
              <c:pt idx="101">
                <c:v>2010</c:v>
              </c:pt>
              <c:pt idx="102">
                <c:v>2010</c:v>
              </c:pt>
              <c:pt idx="103">
                <c:v>2010</c:v>
              </c:pt>
              <c:pt idx="104">
                <c:v>2011</c:v>
              </c:pt>
              <c:pt idx="105">
                <c:v>2011</c:v>
              </c:pt>
              <c:pt idx="106">
                <c:v>2011</c:v>
              </c:pt>
              <c:pt idx="107">
                <c:v>2011</c:v>
              </c:pt>
              <c:pt idx="108">
                <c:v>2012</c:v>
              </c:pt>
              <c:pt idx="109">
                <c:v>2012</c:v>
              </c:pt>
              <c:pt idx="110">
                <c:v>2012</c:v>
              </c:pt>
              <c:pt idx="111">
                <c:v>2012</c:v>
              </c:pt>
              <c:pt idx="112">
                <c:v>2013</c:v>
              </c:pt>
              <c:pt idx="113">
                <c:v>2013</c:v>
              </c:pt>
              <c:pt idx="114">
                <c:v>2013</c:v>
              </c:pt>
              <c:pt idx="115">
                <c:v>2013</c:v>
              </c:pt>
              <c:pt idx="116">
                <c:v>2014</c:v>
              </c:pt>
              <c:pt idx="117">
                <c:v>2014</c:v>
              </c:pt>
              <c:pt idx="118">
                <c:v>2014</c:v>
              </c:pt>
              <c:pt idx="119">
                <c:v>2014</c:v>
              </c:pt>
              <c:pt idx="120">
                <c:v>2015</c:v>
              </c:pt>
              <c:pt idx="121">
                <c:v>2015</c:v>
              </c:pt>
              <c:pt idx="122">
                <c:v>2015</c:v>
              </c:pt>
              <c:pt idx="123">
                <c:v>2015</c:v>
              </c:pt>
              <c:pt idx="124">
                <c:v>2016</c:v>
              </c:pt>
              <c:pt idx="125">
                <c:v>2016</c:v>
              </c:pt>
              <c:pt idx="126">
                <c:v>2016</c:v>
              </c:pt>
              <c:pt idx="127">
                <c:v>2016</c:v>
              </c:pt>
              <c:pt idx="128">
                <c:v>2017</c:v>
              </c:pt>
              <c:pt idx="129">
                <c:v>2017</c:v>
              </c:pt>
              <c:pt idx="130">
                <c:v>2017</c:v>
              </c:pt>
              <c:pt idx="131">
                <c:v>2017</c:v>
              </c:pt>
              <c:pt idx="132">
                <c:v>2018</c:v>
              </c:pt>
              <c:pt idx="133">
                <c:v>2018</c:v>
              </c:pt>
              <c:pt idx="134">
                <c:v>2018</c:v>
              </c:pt>
              <c:pt idx="135">
                <c:v>2018</c:v>
              </c:pt>
              <c:pt idx="136">
                <c:v>2019</c:v>
              </c:pt>
              <c:pt idx="137">
                <c:v>2019</c:v>
              </c:pt>
              <c:pt idx="138">
                <c:v>2019</c:v>
              </c:pt>
              <c:pt idx="139">
                <c:v>2019</c:v>
              </c:pt>
              <c:pt idx="140">
                <c:v>2020</c:v>
              </c:pt>
              <c:pt idx="141">
                <c:v>2020</c:v>
              </c:pt>
              <c:pt idx="142">
                <c:v>2020</c:v>
              </c:pt>
              <c:pt idx="143">
                <c:v>2020</c:v>
              </c:pt>
              <c:pt idx="144">
                <c:v>2021</c:v>
              </c:pt>
              <c:pt idx="145">
                <c:v>2021</c:v>
              </c:pt>
              <c:pt idx="146">
                <c:v>2021</c:v>
              </c:pt>
              <c:pt idx="147">
                <c:v>2021</c:v>
              </c:pt>
              <c:pt idx="148">
                <c:v>2022</c:v>
              </c:pt>
              <c:pt idx="149">
                <c:v>2022</c:v>
              </c:pt>
              <c:pt idx="150">
                <c:v>2022</c:v>
              </c:pt>
              <c:pt idx="151">
                <c:v>2022</c:v>
              </c:pt>
              <c:pt idx="152">
                <c:v>2023</c:v>
              </c:pt>
              <c:pt idx="153">
                <c:v>2023</c:v>
              </c:pt>
              <c:pt idx="154">
                <c:v>2023</c:v>
              </c:pt>
              <c:pt idx="155">
                <c:v>2023</c:v>
              </c:pt>
              <c:pt idx="156">
                <c:v>2024</c:v>
              </c:pt>
              <c:pt idx="157">
                <c:v>2024</c:v>
              </c:pt>
              <c:pt idx="158">
                <c:v>2024</c:v>
              </c:pt>
              <c:pt idx="159">
                <c:v>2024</c:v>
              </c:pt>
              <c:pt idx="160">
                <c:v>2025</c:v>
              </c:pt>
              <c:pt idx="161">
                <c:v>2025</c:v>
              </c:pt>
              <c:pt idx="162">
                <c:v>2025</c:v>
              </c:pt>
              <c:pt idx="163">
                <c:v>2025</c:v>
              </c:pt>
            </c:numLit>
          </c:cat>
          <c:val>
            <c:numRef>
              <c:f>'SF.1.C.'!$R$3:$R$166</c:f>
              <c:numCache>
                <c:formatCode>0</c:formatCode>
                <c:ptCount val="164"/>
                <c:pt idx="0">
                  <c:v>120.4</c:v>
                </c:pt>
                <c:pt idx="1">
                  <c:v>113.5</c:v>
                </c:pt>
                <c:pt idx="2">
                  <c:v>101</c:v>
                </c:pt>
                <c:pt idx="3">
                  <c:v>90</c:v>
                </c:pt>
                <c:pt idx="4">
                  <c:v>102.3</c:v>
                </c:pt>
                <c:pt idx="5">
                  <c:v>125.4</c:v>
                </c:pt>
                <c:pt idx="6">
                  <c:v>103.6</c:v>
                </c:pt>
                <c:pt idx="7">
                  <c:v>109</c:v>
                </c:pt>
                <c:pt idx="8">
                  <c:v>101.9</c:v>
                </c:pt>
                <c:pt idx="9">
                  <c:v>104.8</c:v>
                </c:pt>
                <c:pt idx="10">
                  <c:v>122.2</c:v>
                </c:pt>
                <c:pt idx="11">
                  <c:v>115.3</c:v>
                </c:pt>
                <c:pt idx="12">
                  <c:v>94.4</c:v>
                </c:pt>
                <c:pt idx="13">
                  <c:v>98.2</c:v>
                </c:pt>
                <c:pt idx="14">
                  <c:v>72.5</c:v>
                </c:pt>
                <c:pt idx="15">
                  <c:v>70</c:v>
                </c:pt>
                <c:pt idx="16">
                  <c:v>85.8</c:v>
                </c:pt>
                <c:pt idx="17">
                  <c:v>97.4</c:v>
                </c:pt>
                <c:pt idx="18">
                  <c:v>93.2</c:v>
                </c:pt>
                <c:pt idx="19">
                  <c:v>80.5</c:v>
                </c:pt>
                <c:pt idx="20">
                  <c:v>75.099999999999994</c:v>
                </c:pt>
                <c:pt idx="21">
                  <c:v>89.5</c:v>
                </c:pt>
                <c:pt idx="22">
                  <c:v>232.8</c:v>
                </c:pt>
                <c:pt idx="23">
                  <c:v>189.6</c:v>
                </c:pt>
                <c:pt idx="24">
                  <c:v>249.3</c:v>
                </c:pt>
                <c:pt idx="25">
                  <c:v>98.7</c:v>
                </c:pt>
                <c:pt idx="26">
                  <c:v>144.1</c:v>
                </c:pt>
                <c:pt idx="27">
                  <c:v>126.1</c:v>
                </c:pt>
                <c:pt idx="28">
                  <c:v>111.5</c:v>
                </c:pt>
                <c:pt idx="29">
                  <c:v>103.4</c:v>
                </c:pt>
                <c:pt idx="30">
                  <c:v>90.9</c:v>
                </c:pt>
                <c:pt idx="31">
                  <c:v>92.8</c:v>
                </c:pt>
                <c:pt idx="32">
                  <c:v>116.7</c:v>
                </c:pt>
                <c:pt idx="33">
                  <c:v>135.6</c:v>
                </c:pt>
                <c:pt idx="34">
                  <c:v>108.8</c:v>
                </c:pt>
                <c:pt idx="35">
                  <c:v>110.8</c:v>
                </c:pt>
                <c:pt idx="36">
                  <c:v>113.3</c:v>
                </c:pt>
                <c:pt idx="37">
                  <c:v>129.19999999999999</c:v>
                </c:pt>
                <c:pt idx="38">
                  <c:v>123.2</c:v>
                </c:pt>
                <c:pt idx="39">
                  <c:v>109.1</c:v>
                </c:pt>
                <c:pt idx="40">
                  <c:v>78.900000000000006</c:v>
                </c:pt>
                <c:pt idx="41">
                  <c:v>104</c:v>
                </c:pt>
                <c:pt idx="42">
                  <c:v>102.3</c:v>
                </c:pt>
                <c:pt idx="43">
                  <c:v>70.7</c:v>
                </c:pt>
                <c:pt idx="44">
                  <c:v>79.2</c:v>
                </c:pt>
                <c:pt idx="45">
                  <c:v>67.7</c:v>
                </c:pt>
                <c:pt idx="46">
                  <c:v>81.2</c:v>
                </c:pt>
                <c:pt idx="47">
                  <c:v>65</c:v>
                </c:pt>
                <c:pt idx="48">
                  <c:v>54.7</c:v>
                </c:pt>
                <c:pt idx="49">
                  <c:v>50.9</c:v>
                </c:pt>
                <c:pt idx="50">
                  <c:v>45.1</c:v>
                </c:pt>
                <c:pt idx="51">
                  <c:v>62</c:v>
                </c:pt>
                <c:pt idx="52">
                  <c:v>75.7</c:v>
                </c:pt>
                <c:pt idx="53">
                  <c:v>94.5</c:v>
                </c:pt>
                <c:pt idx="54">
                  <c:v>72.2</c:v>
                </c:pt>
                <c:pt idx="55">
                  <c:v>77.400000000000006</c:v>
                </c:pt>
                <c:pt idx="56">
                  <c:v>75.5</c:v>
                </c:pt>
                <c:pt idx="57">
                  <c:v>92.6</c:v>
                </c:pt>
                <c:pt idx="58">
                  <c:v>69.2</c:v>
                </c:pt>
                <c:pt idx="59">
                  <c:v>78.400000000000006</c:v>
                </c:pt>
                <c:pt idx="60">
                  <c:v>59.4</c:v>
                </c:pt>
                <c:pt idx="61">
                  <c:v>68</c:v>
                </c:pt>
                <c:pt idx="62">
                  <c:v>57</c:v>
                </c:pt>
                <c:pt idx="63">
                  <c:v>57.6</c:v>
                </c:pt>
                <c:pt idx="64">
                  <c:v>61.4</c:v>
                </c:pt>
                <c:pt idx="65">
                  <c:v>64.5</c:v>
                </c:pt>
                <c:pt idx="66">
                  <c:v>127</c:v>
                </c:pt>
                <c:pt idx="67">
                  <c:v>179.1</c:v>
                </c:pt>
                <c:pt idx="68">
                  <c:v>100.6</c:v>
                </c:pt>
                <c:pt idx="69">
                  <c:v>123.6</c:v>
                </c:pt>
                <c:pt idx="70">
                  <c:v>123.5</c:v>
                </c:pt>
                <c:pt idx="71">
                  <c:v>168.3</c:v>
                </c:pt>
                <c:pt idx="72">
                  <c:v>301.7</c:v>
                </c:pt>
                <c:pt idx="73">
                  <c:v>164.6</c:v>
                </c:pt>
                <c:pt idx="74">
                  <c:v>105.9</c:v>
                </c:pt>
                <c:pt idx="75">
                  <c:v>97.9</c:v>
                </c:pt>
                <c:pt idx="76">
                  <c:v>106.7</c:v>
                </c:pt>
                <c:pt idx="77">
                  <c:v>106.6</c:v>
                </c:pt>
                <c:pt idx="78">
                  <c:v>126.3</c:v>
                </c:pt>
                <c:pt idx="79">
                  <c:v>93.7</c:v>
                </c:pt>
                <c:pt idx="80">
                  <c:v>90.1</c:v>
                </c:pt>
                <c:pt idx="81">
                  <c:v>77.400000000000006</c:v>
                </c:pt>
                <c:pt idx="82">
                  <c:v>96.4</c:v>
                </c:pt>
                <c:pt idx="83">
                  <c:v>71.099999999999994</c:v>
                </c:pt>
                <c:pt idx="84">
                  <c:v>88.9</c:v>
                </c:pt>
                <c:pt idx="85">
                  <c:v>86.8</c:v>
                </c:pt>
                <c:pt idx="86">
                  <c:v>128.69999999999999</c:v>
                </c:pt>
                <c:pt idx="87">
                  <c:v>102.8</c:v>
                </c:pt>
                <c:pt idx="88">
                  <c:v>93.3</c:v>
                </c:pt>
                <c:pt idx="89">
                  <c:v>79.5</c:v>
                </c:pt>
                <c:pt idx="90">
                  <c:v>90.4</c:v>
                </c:pt>
                <c:pt idx="91">
                  <c:v>99.3</c:v>
                </c:pt>
                <c:pt idx="92">
                  <c:v>73.7</c:v>
                </c:pt>
                <c:pt idx="93">
                  <c:v>76.3</c:v>
                </c:pt>
                <c:pt idx="94">
                  <c:v>80.7</c:v>
                </c:pt>
                <c:pt idx="95">
                  <c:v>68.400000000000006</c:v>
                </c:pt>
                <c:pt idx="96">
                  <c:v>73.400000000000006</c:v>
                </c:pt>
                <c:pt idx="97">
                  <c:v>84</c:v>
                </c:pt>
                <c:pt idx="98">
                  <c:v>81.400000000000006</c:v>
                </c:pt>
                <c:pt idx="99">
                  <c:v>84</c:v>
                </c:pt>
                <c:pt idx="100">
                  <c:v>79.099999999999994</c:v>
                </c:pt>
                <c:pt idx="101">
                  <c:v>96.7</c:v>
                </c:pt>
                <c:pt idx="102">
                  <c:v>72</c:v>
                </c:pt>
                <c:pt idx="103">
                  <c:v>87.1</c:v>
                </c:pt>
                <c:pt idx="104">
                  <c:v>97.9</c:v>
                </c:pt>
                <c:pt idx="105">
                  <c:v>79.900000000000006</c:v>
                </c:pt>
                <c:pt idx="106">
                  <c:v>64.400000000000006</c:v>
                </c:pt>
                <c:pt idx="107">
                  <c:v>82.9</c:v>
                </c:pt>
                <c:pt idx="108">
                  <c:v>95.2</c:v>
                </c:pt>
                <c:pt idx="109">
                  <c:v>84.3</c:v>
                </c:pt>
                <c:pt idx="110">
                  <c:v>72.900000000000006</c:v>
                </c:pt>
                <c:pt idx="111">
                  <c:v>72</c:v>
                </c:pt>
                <c:pt idx="112">
                  <c:v>81.2</c:v>
                </c:pt>
                <c:pt idx="113">
                  <c:v>84.6</c:v>
                </c:pt>
                <c:pt idx="114">
                  <c:v>84.2</c:v>
                </c:pt>
                <c:pt idx="115">
                  <c:v>76</c:v>
                </c:pt>
                <c:pt idx="116">
                  <c:v>98.5</c:v>
                </c:pt>
                <c:pt idx="117">
                  <c:v>100.1</c:v>
                </c:pt>
                <c:pt idx="118">
                  <c:v>154.9</c:v>
                </c:pt>
                <c:pt idx="119">
                  <c:v>85.4</c:v>
                </c:pt>
                <c:pt idx="120">
                  <c:v>106.4</c:v>
                </c:pt>
                <c:pt idx="121">
                  <c:v>89.6</c:v>
                </c:pt>
                <c:pt idx="122">
                  <c:v>107.4</c:v>
                </c:pt>
                <c:pt idx="123">
                  <c:v>102.7</c:v>
                </c:pt>
                <c:pt idx="124">
                  <c:v>104.5</c:v>
                </c:pt>
                <c:pt idx="125">
                  <c:v>81.900000000000006</c:v>
                </c:pt>
                <c:pt idx="126">
                  <c:v>91.7</c:v>
                </c:pt>
                <c:pt idx="127">
                  <c:v>84.9</c:v>
                </c:pt>
                <c:pt idx="128">
                  <c:v>109.9</c:v>
                </c:pt>
                <c:pt idx="129">
                  <c:v>114.3</c:v>
                </c:pt>
                <c:pt idx="130">
                  <c:v>142.6</c:v>
                </c:pt>
                <c:pt idx="131">
                  <c:v>103</c:v>
                </c:pt>
                <c:pt idx="132">
                  <c:v>109.8</c:v>
                </c:pt>
                <c:pt idx="133">
                  <c:v>151.9</c:v>
                </c:pt>
                <c:pt idx="134">
                  <c:v>120.9</c:v>
                </c:pt>
                <c:pt idx="135">
                  <c:v>108.8</c:v>
                </c:pt>
                <c:pt idx="136">
                  <c:v>110.5</c:v>
                </c:pt>
                <c:pt idx="137">
                  <c:v>124.4</c:v>
                </c:pt>
                <c:pt idx="138">
                  <c:v>120.8</c:v>
                </c:pt>
                <c:pt idx="139">
                  <c:v>95.3</c:v>
                </c:pt>
                <c:pt idx="140">
                  <c:v>125</c:v>
                </c:pt>
                <c:pt idx="141">
                  <c:v>83.7</c:v>
                </c:pt>
                <c:pt idx="142">
                  <c:v>93.3</c:v>
                </c:pt>
                <c:pt idx="143">
                  <c:v>87.8</c:v>
                </c:pt>
                <c:pt idx="144">
                  <c:v>97.9</c:v>
                </c:pt>
                <c:pt idx="145">
                  <c:v>107.6</c:v>
                </c:pt>
                <c:pt idx="146">
                  <c:v>86.4</c:v>
                </c:pt>
                <c:pt idx="147">
                  <c:v>123.5</c:v>
                </c:pt>
                <c:pt idx="148">
                  <c:v>307.89999999999998</c:v>
                </c:pt>
                <c:pt idx="149">
                  <c:v>183</c:v>
                </c:pt>
                <c:pt idx="150">
                  <c:v>157</c:v>
                </c:pt>
                <c:pt idx="151">
                  <c:v>149.19999999999999</c:v>
                </c:pt>
                <c:pt idx="152">
                  <c:v>128.4</c:v>
                </c:pt>
                <c:pt idx="153">
                  <c:v>123.3</c:v>
                </c:pt>
                <c:pt idx="154">
                  <c:v>122.4</c:v>
                </c:pt>
                <c:pt idx="155">
                  <c:v>161.6</c:v>
                </c:pt>
                <c:pt idx="156">
                  <c:v>134.19999999999999</c:v>
                </c:pt>
                <c:pt idx="157">
                  <c:v>142.6</c:v>
                </c:pt>
                <c:pt idx="158">
                  <c:v>118</c:v>
                </c:pt>
                <c:pt idx="159">
                  <c:v>131.9</c:v>
                </c:pt>
                <c:pt idx="160">
                  <c:v>148.30000000000001</c:v>
                </c:pt>
                <c:pt idx="161">
                  <c:v>215.8</c:v>
                </c:pt>
                <c:pt idx="162">
                  <c:v>151.1</c:v>
                </c:pt>
                <c:pt idx="163">
                  <c:v>143.9</c:v>
                </c:pt>
              </c:numCache>
            </c:numRef>
          </c:val>
          <c:smooth val="0"/>
          <c:extLst>
            <c:ext xmlns:c16="http://schemas.microsoft.com/office/drawing/2014/chart" uri="{C3380CC4-5D6E-409C-BE32-E72D297353CC}">
              <c16:uniqueId val="{00000001-87AB-4A21-B425-D3FD2C251E43}"/>
            </c:ext>
          </c:extLst>
        </c:ser>
        <c:dLbls>
          <c:showLegendKey val="0"/>
          <c:showVal val="0"/>
          <c:showCatName val="0"/>
          <c:showSerName val="0"/>
          <c:showPercent val="0"/>
          <c:showBubbleSize val="0"/>
        </c:dLbls>
        <c:marker val="1"/>
        <c:smooth val="0"/>
        <c:axId val="27060736"/>
        <c:axId val="27063424"/>
      </c:lineChart>
      <c:catAx>
        <c:axId val="2706073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7063424"/>
        <c:crosses val="autoZero"/>
        <c:auto val="1"/>
        <c:lblAlgn val="ctr"/>
        <c:lblOffset val="100"/>
        <c:tickLblSkip val="20"/>
        <c:noMultiLvlLbl val="0"/>
      </c:catAx>
      <c:valAx>
        <c:axId val="2706342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7060736"/>
        <c:crosses val="autoZero"/>
        <c:crossBetween val="between"/>
      </c:valAx>
      <c:valAx>
        <c:axId val="29492544"/>
        <c:scaling>
          <c:orientation val="minMax"/>
          <c:max val="140"/>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9495680"/>
        <c:crosses val="max"/>
        <c:crossBetween val="between"/>
      </c:valAx>
      <c:catAx>
        <c:axId val="29495680"/>
        <c:scaling>
          <c:orientation val="minMax"/>
        </c:scaling>
        <c:delete val="1"/>
        <c:axPos val="b"/>
        <c:majorTickMark val="out"/>
        <c:minorTickMark val="none"/>
        <c:tickLblPos val="nextTo"/>
        <c:crossAx val="29492544"/>
        <c:crosses val="autoZero"/>
        <c:auto val="1"/>
        <c:lblAlgn val="ctr"/>
        <c:lblOffset val="100"/>
        <c:noMultiLvlLbl val="0"/>
      </c:cat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897594412268708E-2"/>
          <c:y val="0.14289268008165648"/>
          <c:w val="0.88895089043621611"/>
          <c:h val="0.67946369203849522"/>
        </c:manualLayout>
      </c:layout>
      <c:barChart>
        <c:barDir val="col"/>
        <c:grouping val="clustered"/>
        <c:varyColors val="0"/>
        <c:ser>
          <c:idx val="0"/>
          <c:order val="0"/>
          <c:tx>
            <c:strRef>
              <c:f>'SF.1.D.'!$R$2</c:f>
              <c:strCache>
                <c:ptCount val="1"/>
                <c:pt idx="0">
                  <c:v>Number of days of rising geopolitical risk</c:v>
                </c:pt>
              </c:strCache>
            </c:strRef>
          </c:tx>
          <c:spPr>
            <a:solidFill>
              <a:srgbClr val="002345"/>
            </a:solidFill>
            <a:ln w="76200">
              <a:noFill/>
            </a:ln>
            <a:effectLst/>
          </c:spPr>
          <c:invertIfNegative val="0"/>
          <c:cat>
            <c:numRef>
              <c:f>'SF.1.D.'!$Q$3:$Q$43</c:f>
              <c:numCache>
                <c:formatCode>General</c:formatCode>
                <c:ptCount val="4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numCache>
            </c:numRef>
          </c:cat>
          <c:val>
            <c:numRef>
              <c:f>'SF.1.D.'!$R$3:$R$43</c:f>
              <c:numCache>
                <c:formatCode>General</c:formatCode>
                <c:ptCount val="41"/>
                <c:pt idx="0">
                  <c:v>17</c:v>
                </c:pt>
                <c:pt idx="1">
                  <c:v>19</c:v>
                </c:pt>
                <c:pt idx="2">
                  <c:v>7</c:v>
                </c:pt>
                <c:pt idx="3">
                  <c:v>14</c:v>
                </c:pt>
                <c:pt idx="4">
                  <c:v>5</c:v>
                </c:pt>
                <c:pt idx="5">
                  <c:v>5</c:v>
                </c:pt>
                <c:pt idx="6">
                  <c:v>4</c:v>
                </c:pt>
                <c:pt idx="7">
                  <c:v>6</c:v>
                </c:pt>
                <c:pt idx="8">
                  <c:v>3</c:v>
                </c:pt>
                <c:pt idx="9">
                  <c:v>2</c:v>
                </c:pt>
                <c:pt idx="10">
                  <c:v>6</c:v>
                </c:pt>
                <c:pt idx="11">
                  <c:v>15</c:v>
                </c:pt>
                <c:pt idx="12">
                  <c:v>10</c:v>
                </c:pt>
                <c:pt idx="13">
                  <c:v>3</c:v>
                </c:pt>
                <c:pt idx="14">
                  <c:v>6</c:v>
                </c:pt>
                <c:pt idx="15">
                  <c:v>13</c:v>
                </c:pt>
                <c:pt idx="16">
                  <c:v>6</c:v>
                </c:pt>
                <c:pt idx="17">
                  <c:v>2</c:v>
                </c:pt>
                <c:pt idx="18">
                  <c:v>2</c:v>
                </c:pt>
                <c:pt idx="19">
                  <c:v>2</c:v>
                </c:pt>
                <c:pt idx="20">
                  <c:v>11</c:v>
                </c:pt>
                <c:pt idx="21">
                  <c:v>10</c:v>
                </c:pt>
                <c:pt idx="22">
                  <c:v>5</c:v>
                </c:pt>
                <c:pt idx="23">
                  <c:v>10</c:v>
                </c:pt>
                <c:pt idx="24">
                  <c:v>14</c:v>
                </c:pt>
                <c:pt idx="25">
                  <c:v>13</c:v>
                </c:pt>
                <c:pt idx="26">
                  <c:v>9</c:v>
                </c:pt>
                <c:pt idx="27">
                  <c:v>15</c:v>
                </c:pt>
                <c:pt idx="28">
                  <c:v>11</c:v>
                </c:pt>
                <c:pt idx="29">
                  <c:v>12</c:v>
                </c:pt>
                <c:pt idx="30">
                  <c:v>15</c:v>
                </c:pt>
                <c:pt idx="31">
                  <c:v>17</c:v>
                </c:pt>
                <c:pt idx="32">
                  <c:v>13</c:v>
                </c:pt>
                <c:pt idx="33">
                  <c:v>18</c:v>
                </c:pt>
                <c:pt idx="34">
                  <c:v>21</c:v>
                </c:pt>
                <c:pt idx="35">
                  <c:v>14</c:v>
                </c:pt>
                <c:pt idx="36">
                  <c:v>22</c:v>
                </c:pt>
                <c:pt idx="37">
                  <c:v>4</c:v>
                </c:pt>
                <c:pt idx="38">
                  <c:v>17</c:v>
                </c:pt>
                <c:pt idx="39">
                  <c:v>16</c:v>
                </c:pt>
                <c:pt idx="40">
                  <c:v>12</c:v>
                </c:pt>
              </c:numCache>
            </c:numRef>
          </c:val>
          <c:extLst>
            <c:ext xmlns:c16="http://schemas.microsoft.com/office/drawing/2014/chart" uri="{C3380CC4-5D6E-409C-BE32-E72D297353CC}">
              <c16:uniqueId val="{00000000-CDD7-49CF-A61B-243955561CCE}"/>
            </c:ext>
          </c:extLst>
        </c:ser>
        <c:dLbls>
          <c:showLegendKey val="0"/>
          <c:showVal val="0"/>
          <c:showCatName val="0"/>
          <c:showSerName val="0"/>
          <c:showPercent val="0"/>
          <c:showBubbleSize val="0"/>
        </c:dLbls>
        <c:gapWidth val="70"/>
        <c:overlap val="-27"/>
        <c:axId val="27543296"/>
        <c:axId val="27548672"/>
      </c:barChart>
      <c:catAx>
        <c:axId val="2754329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7548672"/>
        <c:crosses val="autoZero"/>
        <c:auto val="1"/>
        <c:lblAlgn val="ctr"/>
        <c:lblOffset val="100"/>
        <c:tickLblSkip val="5"/>
        <c:noMultiLvlLbl val="0"/>
      </c:catAx>
      <c:valAx>
        <c:axId val="275486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754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140369647785232E-2"/>
          <c:y val="0.12931823659758615"/>
          <c:w val="0.88866975748503552"/>
          <c:h val="0.68864920665777352"/>
        </c:manualLayout>
      </c:layout>
      <c:barChart>
        <c:barDir val="col"/>
        <c:grouping val="clustered"/>
        <c:varyColors val="0"/>
        <c:ser>
          <c:idx val="0"/>
          <c:order val="0"/>
          <c:tx>
            <c:strRef>
              <c:f>'SF.2.A.'!$R$2</c:f>
              <c:strCache>
                <c:ptCount val="1"/>
                <c:pt idx="0">
                  <c:v>Rising geopolitical risk</c:v>
                </c:pt>
              </c:strCache>
            </c:strRef>
          </c:tx>
          <c:spPr>
            <a:solidFill>
              <a:srgbClr val="002345"/>
            </a:solidFill>
            <a:ln w="76200">
              <a:noFill/>
            </a:ln>
            <a:effectLst/>
          </c:spPr>
          <c:invertIfNegative val="0"/>
          <c:cat>
            <c:strRef>
              <c:f>'SF.2.A.'!$Q$3:$Q$7</c:f>
              <c:strCache>
                <c:ptCount val="5"/>
                <c:pt idx="0">
                  <c:v>1985-
2025</c:v>
                </c:pt>
                <c:pt idx="1">
                  <c:v>1985-
1995</c:v>
                </c:pt>
                <c:pt idx="2">
                  <c:v>1996-
2005</c:v>
                </c:pt>
                <c:pt idx="3">
                  <c:v>2006-
2015</c:v>
                </c:pt>
                <c:pt idx="4">
                  <c:v>2016-
2025</c:v>
                </c:pt>
              </c:strCache>
            </c:strRef>
          </c:cat>
          <c:val>
            <c:numRef>
              <c:f>'SF.2.A.'!$R$3:$R$7</c:f>
              <c:numCache>
                <c:formatCode>0</c:formatCode>
                <c:ptCount val="5"/>
                <c:pt idx="0">
                  <c:v>11.3</c:v>
                </c:pt>
                <c:pt idx="1">
                  <c:v>12.5</c:v>
                </c:pt>
                <c:pt idx="2">
                  <c:v>10.7</c:v>
                </c:pt>
                <c:pt idx="3">
                  <c:v>8.9</c:v>
                </c:pt>
                <c:pt idx="4">
                  <c:v>12.6</c:v>
                </c:pt>
              </c:numCache>
            </c:numRef>
          </c:val>
          <c:extLst>
            <c:ext xmlns:c16="http://schemas.microsoft.com/office/drawing/2014/chart" uri="{C3380CC4-5D6E-409C-BE32-E72D297353CC}">
              <c16:uniqueId val="{00000000-4C04-4891-8D76-3F6052994A07}"/>
            </c:ext>
          </c:extLst>
        </c:ser>
        <c:ser>
          <c:idx val="1"/>
          <c:order val="1"/>
          <c:tx>
            <c:strRef>
              <c:f>'SF.2.A.'!$S$2</c:f>
              <c:strCache>
                <c:ptCount val="1"/>
                <c:pt idx="0">
                  <c:v>Stable geopolitical risk</c:v>
                </c:pt>
              </c:strCache>
            </c:strRef>
          </c:tx>
          <c:spPr>
            <a:solidFill>
              <a:srgbClr val="EB1C2D"/>
            </a:solidFill>
            <a:ln w="76200">
              <a:noFill/>
            </a:ln>
            <a:effectLst/>
          </c:spPr>
          <c:invertIfNegative val="0"/>
          <c:cat>
            <c:strRef>
              <c:f>'SF.2.A.'!$Q$3:$Q$7</c:f>
              <c:strCache>
                <c:ptCount val="5"/>
                <c:pt idx="0">
                  <c:v>1985-
2025</c:v>
                </c:pt>
                <c:pt idx="1">
                  <c:v>1985-
1995</c:v>
                </c:pt>
                <c:pt idx="2">
                  <c:v>1996-
2005</c:v>
                </c:pt>
                <c:pt idx="3">
                  <c:v>2006-
2015</c:v>
                </c:pt>
                <c:pt idx="4">
                  <c:v>2016-
2025</c:v>
                </c:pt>
              </c:strCache>
            </c:strRef>
          </c:cat>
          <c:val>
            <c:numRef>
              <c:f>'SF.2.A.'!$S$3:$S$7</c:f>
              <c:numCache>
                <c:formatCode>0</c:formatCode>
                <c:ptCount val="5"/>
                <c:pt idx="0">
                  <c:v>6.1</c:v>
                </c:pt>
                <c:pt idx="1">
                  <c:v>6.6</c:v>
                </c:pt>
                <c:pt idx="2">
                  <c:v>7.2</c:v>
                </c:pt>
                <c:pt idx="3">
                  <c:v>3.8</c:v>
                </c:pt>
                <c:pt idx="4">
                  <c:v>8.5</c:v>
                </c:pt>
              </c:numCache>
            </c:numRef>
          </c:val>
          <c:extLst>
            <c:ext xmlns:c16="http://schemas.microsoft.com/office/drawing/2014/chart" uri="{C3380CC4-5D6E-409C-BE32-E72D297353CC}">
              <c16:uniqueId val="{00000001-4C04-4891-8D76-3F6052994A07}"/>
            </c:ext>
          </c:extLst>
        </c:ser>
        <c:dLbls>
          <c:showLegendKey val="0"/>
          <c:showVal val="0"/>
          <c:showCatName val="0"/>
          <c:showSerName val="0"/>
          <c:showPercent val="0"/>
          <c:showBubbleSize val="0"/>
        </c:dLbls>
        <c:gapWidth val="58"/>
        <c:axId val="587804192"/>
        <c:axId val="588192592"/>
      </c:barChart>
      <c:catAx>
        <c:axId val="58780419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88192592"/>
        <c:crosses val="autoZero"/>
        <c:auto val="1"/>
        <c:lblAlgn val="ctr"/>
        <c:lblOffset val="100"/>
        <c:noMultiLvlLbl val="0"/>
      </c:catAx>
      <c:valAx>
        <c:axId val="588192592"/>
        <c:scaling>
          <c:orientation val="minMax"/>
          <c:max val="16"/>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87804192"/>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40384076638597"/>
          <c:y val="0.13888935527005497"/>
          <c:w val="0.87446795446637771"/>
          <c:h val="0.61855045550207666"/>
        </c:manualLayout>
      </c:layout>
      <c:barChart>
        <c:barDir val="col"/>
        <c:grouping val="clustered"/>
        <c:varyColors val="0"/>
        <c:ser>
          <c:idx val="0"/>
          <c:order val="0"/>
          <c:tx>
            <c:strRef>
              <c:f>'SF.2.B.'!$R$2</c:f>
              <c:strCache>
                <c:ptCount val="1"/>
                <c:pt idx="0">
                  <c:v>Oil price change</c:v>
                </c:pt>
              </c:strCache>
            </c:strRef>
          </c:tx>
          <c:spPr>
            <a:solidFill>
              <a:srgbClr val="002345"/>
            </a:solidFill>
            <a:ln w="76200">
              <a:noFill/>
            </a:ln>
            <a:effectLst/>
          </c:spPr>
          <c:invertIfNegative val="0"/>
          <c:cat>
            <c:numRef>
              <c:f>'SF.2.B.'!$Q$3:$Q$11</c:f>
              <c:numCache>
                <c:formatCode>mmm\-yy</c:formatCode>
                <c:ptCount val="9"/>
                <c:pt idx="0">
                  <c:v>33086</c:v>
                </c:pt>
                <c:pt idx="1">
                  <c:v>33239</c:v>
                </c:pt>
                <c:pt idx="2">
                  <c:v>37135</c:v>
                </c:pt>
                <c:pt idx="3">
                  <c:v>37591</c:v>
                </c:pt>
                <c:pt idx="4">
                  <c:v>40575</c:v>
                </c:pt>
                <c:pt idx="5">
                  <c:v>41944</c:v>
                </c:pt>
                <c:pt idx="6">
                  <c:v>43709</c:v>
                </c:pt>
                <c:pt idx="7">
                  <c:v>44593</c:v>
                </c:pt>
                <c:pt idx="8">
                  <c:v>45200</c:v>
                </c:pt>
              </c:numCache>
            </c:numRef>
          </c:cat>
          <c:val>
            <c:numRef>
              <c:f>'SF.2.B.'!$R$3:$R$11</c:f>
              <c:numCache>
                <c:formatCode>0</c:formatCode>
                <c:ptCount val="9"/>
                <c:pt idx="0">
                  <c:v>14.5</c:v>
                </c:pt>
                <c:pt idx="1">
                  <c:v>-33</c:v>
                </c:pt>
                <c:pt idx="2">
                  <c:v>6.3</c:v>
                </c:pt>
                <c:pt idx="3">
                  <c:v>5.8</c:v>
                </c:pt>
                <c:pt idx="4">
                  <c:v>8.5</c:v>
                </c:pt>
                <c:pt idx="5">
                  <c:v>-10.199999999999999</c:v>
                </c:pt>
                <c:pt idx="6">
                  <c:v>14.7</c:v>
                </c:pt>
                <c:pt idx="7">
                  <c:v>8</c:v>
                </c:pt>
                <c:pt idx="8">
                  <c:v>4.3</c:v>
                </c:pt>
              </c:numCache>
            </c:numRef>
          </c:val>
          <c:extLst>
            <c:ext xmlns:c16="http://schemas.microsoft.com/office/drawing/2014/chart" uri="{C3380CC4-5D6E-409C-BE32-E72D297353CC}">
              <c16:uniqueId val="{00000000-801A-4762-8476-8C964C142DC5}"/>
            </c:ext>
          </c:extLst>
        </c:ser>
        <c:dLbls>
          <c:showLegendKey val="0"/>
          <c:showVal val="0"/>
          <c:showCatName val="0"/>
          <c:showSerName val="0"/>
          <c:showPercent val="0"/>
          <c:showBubbleSize val="0"/>
        </c:dLbls>
        <c:gapWidth val="50"/>
        <c:overlap val="-1"/>
        <c:axId val="1995186416"/>
        <c:axId val="24479712"/>
      </c:barChart>
      <c:catAx>
        <c:axId val="1995186416"/>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4479712"/>
        <c:crossesAt val="0"/>
        <c:auto val="0"/>
        <c:lblAlgn val="ctr"/>
        <c:lblOffset val="100"/>
        <c:noMultiLvlLbl val="0"/>
      </c:catAx>
      <c:valAx>
        <c:axId val="24479712"/>
        <c:scaling>
          <c:orientation val="minMax"/>
          <c:max val="15"/>
          <c:min val="-3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95186416"/>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535716697505435E-2"/>
          <c:y val="0.11339037083845133"/>
          <c:w val="0.87170664901878692"/>
          <c:h val="0.69299688305418072"/>
        </c:manualLayout>
      </c:layout>
      <c:lineChart>
        <c:grouping val="standard"/>
        <c:varyColors val="0"/>
        <c:ser>
          <c:idx val="0"/>
          <c:order val="0"/>
          <c:tx>
            <c:strRef>
              <c:f>'SF.3.A.'!$R$2</c:f>
              <c:strCache>
                <c:ptCount val="1"/>
                <c:pt idx="0">
                  <c:v>Real Oil Price</c:v>
                </c:pt>
              </c:strCache>
            </c:strRef>
          </c:tx>
          <c:spPr>
            <a:ln w="76200" cap="rnd">
              <a:solidFill>
                <a:srgbClr val="002345"/>
              </a:solidFill>
              <a:round/>
            </a:ln>
            <a:effectLst/>
          </c:spPr>
          <c:marker>
            <c:symbol val="none"/>
          </c:marker>
          <c:cat>
            <c:numRef>
              <c:f>'SF.3.A.'!$Q$3:$Q$75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'SF.3.A.'!$R$3:$R$75</c:f>
              <c:numCache>
                <c:formatCode>0</c:formatCode>
                <c:ptCount val="73"/>
                <c:pt idx="0">
                  <c:v>10</c:v>
                </c:pt>
                <c:pt idx="1">
                  <c:v>12.3</c:v>
                </c:pt>
                <c:pt idx="2">
                  <c:v>12.1</c:v>
                </c:pt>
                <c:pt idx="3">
                  <c:v>11.1</c:v>
                </c:pt>
                <c:pt idx="4">
                  <c:v>10.199999999999999</c:v>
                </c:pt>
                <c:pt idx="5">
                  <c:v>9.6999999999999993</c:v>
                </c:pt>
                <c:pt idx="6">
                  <c:v>8.1999999999999993</c:v>
                </c:pt>
                <c:pt idx="7">
                  <c:v>7.9</c:v>
                </c:pt>
                <c:pt idx="8">
                  <c:v>7.5</c:v>
                </c:pt>
                <c:pt idx="9">
                  <c:v>7.3</c:v>
                </c:pt>
                <c:pt idx="10">
                  <c:v>7.1</c:v>
                </c:pt>
                <c:pt idx="11">
                  <c:v>7.1</c:v>
                </c:pt>
                <c:pt idx="12">
                  <c:v>6.4</c:v>
                </c:pt>
                <c:pt idx="13">
                  <c:v>5.9</c:v>
                </c:pt>
                <c:pt idx="14">
                  <c:v>5.2</c:v>
                </c:pt>
                <c:pt idx="15">
                  <c:v>4.8</c:v>
                </c:pt>
                <c:pt idx="16">
                  <c:v>4.7</c:v>
                </c:pt>
                <c:pt idx="17">
                  <c:v>4.5</c:v>
                </c:pt>
                <c:pt idx="18">
                  <c:v>4.5</c:v>
                </c:pt>
                <c:pt idx="19">
                  <c:v>4.3</c:v>
                </c:pt>
                <c:pt idx="20">
                  <c:v>4</c:v>
                </c:pt>
                <c:pt idx="21">
                  <c:v>3.9</c:v>
                </c:pt>
                <c:pt idx="22">
                  <c:v>3.6</c:v>
                </c:pt>
                <c:pt idx="23">
                  <c:v>3.4</c:v>
                </c:pt>
                <c:pt idx="24">
                  <c:v>3.1</c:v>
                </c:pt>
                <c:pt idx="25">
                  <c:v>2.9</c:v>
                </c:pt>
                <c:pt idx="26">
                  <c:v>2.8</c:v>
                </c:pt>
                <c:pt idx="27">
                  <c:v>2.7</c:v>
                </c:pt>
                <c:pt idx="28">
                  <c:v>2.6</c:v>
                </c:pt>
                <c:pt idx="29">
                  <c:v>2.5</c:v>
                </c:pt>
                <c:pt idx="30">
                  <c:v>2.4</c:v>
                </c:pt>
                <c:pt idx="31">
                  <c:v>2.2000000000000002</c:v>
                </c:pt>
                <c:pt idx="32">
                  <c:v>2.1</c:v>
                </c:pt>
                <c:pt idx="33">
                  <c:v>2.1</c:v>
                </c:pt>
                <c:pt idx="34">
                  <c:v>1.9</c:v>
                </c:pt>
                <c:pt idx="35">
                  <c:v>1.7</c:v>
                </c:pt>
                <c:pt idx="36">
                  <c:v>1.7</c:v>
                </c:pt>
                <c:pt idx="37">
                  <c:v>1.6</c:v>
                </c:pt>
                <c:pt idx="38">
                  <c:v>1.5</c:v>
                </c:pt>
                <c:pt idx="39">
                  <c:v>1.4</c:v>
                </c:pt>
                <c:pt idx="40">
                  <c:v>1.3</c:v>
                </c:pt>
                <c:pt idx="41">
                  <c:v>1.3</c:v>
                </c:pt>
                <c:pt idx="42">
                  <c:v>1.2</c:v>
                </c:pt>
                <c:pt idx="43">
                  <c:v>1.1000000000000001</c:v>
                </c:pt>
                <c:pt idx="44">
                  <c:v>1</c:v>
                </c:pt>
                <c:pt idx="45">
                  <c:v>0.9</c:v>
                </c:pt>
                <c:pt idx="46">
                  <c:v>0.8</c:v>
                </c:pt>
                <c:pt idx="47">
                  <c:v>0.8</c:v>
                </c:pt>
                <c:pt idx="48">
                  <c:v>0.7</c:v>
                </c:pt>
                <c:pt idx="49">
                  <c:v>0.7</c:v>
                </c:pt>
                <c:pt idx="50">
                  <c:v>0.6</c:v>
                </c:pt>
                <c:pt idx="51">
                  <c:v>0.6</c:v>
                </c:pt>
                <c:pt idx="52">
                  <c:v>0.6</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0.6</c:v>
                </c:pt>
                <c:pt idx="70">
                  <c:v>0.6</c:v>
                </c:pt>
                <c:pt idx="71">
                  <c:v>0.6</c:v>
                </c:pt>
                <c:pt idx="72">
                  <c:v>0.6</c:v>
                </c:pt>
              </c:numCache>
            </c:numRef>
          </c:val>
          <c:smooth val="0"/>
          <c:extLst>
            <c:ext xmlns:c16="http://schemas.microsoft.com/office/drawing/2014/chart" uri="{C3380CC4-5D6E-409C-BE32-E72D297353CC}">
              <c16:uniqueId val="{00000000-7C1A-4923-ACEA-810CB5417575}"/>
            </c:ext>
          </c:extLst>
        </c:ser>
        <c:ser>
          <c:idx val="1"/>
          <c:order val="1"/>
          <c:tx>
            <c:strRef>
              <c:f>'SF.3.A.'!$S$2</c:f>
              <c:strCache>
                <c:ptCount val="1"/>
                <c:pt idx="0">
                  <c:v>Lower</c:v>
                </c:pt>
              </c:strCache>
            </c:strRef>
          </c:tx>
          <c:spPr>
            <a:ln w="76200" cap="rnd">
              <a:solidFill>
                <a:schemeClr val="accent1"/>
              </a:solidFill>
              <a:prstDash val="sysDash"/>
              <a:round/>
            </a:ln>
            <a:effectLst/>
          </c:spPr>
          <c:marker>
            <c:symbol val="none"/>
          </c:marker>
          <c:cat>
            <c:numRef>
              <c:f>'SF.3.A.'!$Q$3:$Q$75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'SF.3.A.'!$S$3:$S$75</c:f>
              <c:numCache>
                <c:formatCode>0</c:formatCode>
                <c:ptCount val="73"/>
                <c:pt idx="0">
                  <c:v>10</c:v>
                </c:pt>
                <c:pt idx="1">
                  <c:v>11.6</c:v>
                </c:pt>
                <c:pt idx="2">
                  <c:v>10.9</c:v>
                </c:pt>
                <c:pt idx="3">
                  <c:v>9.5</c:v>
                </c:pt>
                <c:pt idx="4">
                  <c:v>8.4</c:v>
                </c:pt>
                <c:pt idx="5">
                  <c:v>7.5</c:v>
                </c:pt>
                <c:pt idx="6">
                  <c:v>5.7</c:v>
                </c:pt>
                <c:pt idx="7">
                  <c:v>5.5</c:v>
                </c:pt>
                <c:pt idx="8">
                  <c:v>5.2</c:v>
                </c:pt>
                <c:pt idx="9">
                  <c:v>5.3</c:v>
                </c:pt>
                <c:pt idx="10">
                  <c:v>5</c:v>
                </c:pt>
                <c:pt idx="11">
                  <c:v>5</c:v>
                </c:pt>
                <c:pt idx="12">
                  <c:v>4.2</c:v>
                </c:pt>
                <c:pt idx="13">
                  <c:v>3.6</c:v>
                </c:pt>
                <c:pt idx="14">
                  <c:v>3</c:v>
                </c:pt>
                <c:pt idx="15">
                  <c:v>2.7</c:v>
                </c:pt>
                <c:pt idx="16">
                  <c:v>2.6</c:v>
                </c:pt>
                <c:pt idx="17">
                  <c:v>2.5</c:v>
                </c:pt>
                <c:pt idx="18">
                  <c:v>2.4</c:v>
                </c:pt>
                <c:pt idx="19">
                  <c:v>2.2999999999999998</c:v>
                </c:pt>
                <c:pt idx="20">
                  <c:v>2.2000000000000002</c:v>
                </c:pt>
                <c:pt idx="21">
                  <c:v>2</c:v>
                </c:pt>
                <c:pt idx="22">
                  <c:v>1.8</c:v>
                </c:pt>
                <c:pt idx="23">
                  <c:v>1.5</c:v>
                </c:pt>
                <c:pt idx="24">
                  <c:v>1.3</c:v>
                </c:pt>
                <c:pt idx="25">
                  <c:v>1.2</c:v>
                </c:pt>
                <c:pt idx="26">
                  <c:v>1.1000000000000001</c:v>
                </c:pt>
                <c:pt idx="27">
                  <c:v>1</c:v>
                </c:pt>
                <c:pt idx="28">
                  <c:v>0.9</c:v>
                </c:pt>
                <c:pt idx="29">
                  <c:v>0.9</c:v>
                </c:pt>
                <c:pt idx="30">
                  <c:v>0.8</c:v>
                </c:pt>
                <c:pt idx="31">
                  <c:v>0.6</c:v>
                </c:pt>
                <c:pt idx="32">
                  <c:v>0.5</c:v>
                </c:pt>
                <c:pt idx="33">
                  <c:v>0.5</c:v>
                </c:pt>
                <c:pt idx="34">
                  <c:v>0.3</c:v>
                </c:pt>
                <c:pt idx="35">
                  <c:v>0.2</c:v>
                </c:pt>
                <c:pt idx="36">
                  <c:v>0.1</c:v>
                </c:pt>
                <c:pt idx="37">
                  <c:v>0</c:v>
                </c:pt>
                <c:pt idx="38">
                  <c:v>0</c:v>
                </c:pt>
                <c:pt idx="39">
                  <c:v>-0.1</c:v>
                </c:pt>
                <c:pt idx="40">
                  <c:v>-0.2</c:v>
                </c:pt>
                <c:pt idx="41">
                  <c:v>-0.2</c:v>
                </c:pt>
                <c:pt idx="42">
                  <c:v>-0.3</c:v>
                </c:pt>
                <c:pt idx="43">
                  <c:v>-0.4</c:v>
                </c:pt>
                <c:pt idx="44">
                  <c:v>-0.5</c:v>
                </c:pt>
                <c:pt idx="45">
                  <c:v>-0.6</c:v>
                </c:pt>
                <c:pt idx="46">
                  <c:v>-0.6</c:v>
                </c:pt>
                <c:pt idx="47">
                  <c:v>-0.7</c:v>
                </c:pt>
                <c:pt idx="48">
                  <c:v>-0.7</c:v>
                </c:pt>
                <c:pt idx="49">
                  <c:v>-0.7</c:v>
                </c:pt>
                <c:pt idx="50">
                  <c:v>-0.7</c:v>
                </c:pt>
                <c:pt idx="51">
                  <c:v>-0.7</c:v>
                </c:pt>
                <c:pt idx="52">
                  <c:v>-0.8</c:v>
                </c:pt>
                <c:pt idx="53">
                  <c:v>-0.8</c:v>
                </c:pt>
                <c:pt idx="54">
                  <c:v>-0.8</c:v>
                </c:pt>
                <c:pt idx="55">
                  <c:v>-0.8</c:v>
                </c:pt>
                <c:pt idx="56">
                  <c:v>-0.8</c:v>
                </c:pt>
                <c:pt idx="57">
                  <c:v>-0.8</c:v>
                </c:pt>
                <c:pt idx="58">
                  <c:v>-0.8</c:v>
                </c:pt>
                <c:pt idx="59">
                  <c:v>-0.8</c:v>
                </c:pt>
                <c:pt idx="60">
                  <c:v>-0.7</c:v>
                </c:pt>
                <c:pt idx="61">
                  <c:v>-0.7</c:v>
                </c:pt>
                <c:pt idx="62">
                  <c:v>-0.7</c:v>
                </c:pt>
                <c:pt idx="63">
                  <c:v>-0.7</c:v>
                </c:pt>
                <c:pt idx="64">
                  <c:v>-0.7</c:v>
                </c:pt>
                <c:pt idx="65">
                  <c:v>-0.6</c:v>
                </c:pt>
                <c:pt idx="66">
                  <c:v>-0.6</c:v>
                </c:pt>
                <c:pt idx="67">
                  <c:v>-0.6</c:v>
                </c:pt>
                <c:pt idx="68">
                  <c:v>-0.6</c:v>
                </c:pt>
                <c:pt idx="69">
                  <c:v>-0.5</c:v>
                </c:pt>
                <c:pt idx="70">
                  <c:v>-0.5</c:v>
                </c:pt>
                <c:pt idx="71">
                  <c:v>-0.5</c:v>
                </c:pt>
                <c:pt idx="72">
                  <c:v>-0.5</c:v>
                </c:pt>
              </c:numCache>
            </c:numRef>
          </c:val>
          <c:smooth val="0"/>
          <c:extLst>
            <c:ext xmlns:c16="http://schemas.microsoft.com/office/drawing/2014/chart" uri="{C3380CC4-5D6E-409C-BE32-E72D297353CC}">
              <c16:uniqueId val="{00000001-7C1A-4923-ACEA-810CB5417575}"/>
            </c:ext>
          </c:extLst>
        </c:ser>
        <c:ser>
          <c:idx val="2"/>
          <c:order val="2"/>
          <c:tx>
            <c:strRef>
              <c:f>'SF.3.A.'!$T$2</c:f>
              <c:strCache>
                <c:ptCount val="1"/>
                <c:pt idx="0">
                  <c:v>Upper</c:v>
                </c:pt>
              </c:strCache>
            </c:strRef>
          </c:tx>
          <c:spPr>
            <a:ln w="76200" cap="rnd">
              <a:solidFill>
                <a:schemeClr val="accent1"/>
              </a:solidFill>
              <a:prstDash val="sysDash"/>
              <a:round/>
            </a:ln>
            <a:effectLst/>
          </c:spPr>
          <c:marker>
            <c:symbol val="none"/>
          </c:marker>
          <c:cat>
            <c:numRef>
              <c:f>'SF.3.A.'!$Q$3:$Q$75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'SF.3.A.'!$T$3:$T$75</c:f>
              <c:numCache>
                <c:formatCode>0</c:formatCode>
                <c:ptCount val="73"/>
                <c:pt idx="0">
                  <c:v>10</c:v>
                </c:pt>
                <c:pt idx="1">
                  <c:v>13</c:v>
                </c:pt>
                <c:pt idx="2">
                  <c:v>13.4</c:v>
                </c:pt>
                <c:pt idx="3">
                  <c:v>12.8</c:v>
                </c:pt>
                <c:pt idx="4">
                  <c:v>12.4</c:v>
                </c:pt>
                <c:pt idx="5">
                  <c:v>12.2</c:v>
                </c:pt>
                <c:pt idx="6">
                  <c:v>11</c:v>
                </c:pt>
                <c:pt idx="7">
                  <c:v>10.5</c:v>
                </c:pt>
                <c:pt idx="8">
                  <c:v>9.6</c:v>
                </c:pt>
                <c:pt idx="9">
                  <c:v>9.4</c:v>
                </c:pt>
                <c:pt idx="10">
                  <c:v>9.1</c:v>
                </c:pt>
                <c:pt idx="11">
                  <c:v>9.1999999999999993</c:v>
                </c:pt>
                <c:pt idx="12">
                  <c:v>8.6</c:v>
                </c:pt>
                <c:pt idx="13">
                  <c:v>8</c:v>
                </c:pt>
                <c:pt idx="14">
                  <c:v>7.3</c:v>
                </c:pt>
                <c:pt idx="15">
                  <c:v>6.9</c:v>
                </c:pt>
                <c:pt idx="16">
                  <c:v>6.8</c:v>
                </c:pt>
                <c:pt idx="17">
                  <c:v>6.5</c:v>
                </c:pt>
                <c:pt idx="18">
                  <c:v>6.4</c:v>
                </c:pt>
                <c:pt idx="19">
                  <c:v>6.2</c:v>
                </c:pt>
                <c:pt idx="20">
                  <c:v>6</c:v>
                </c:pt>
                <c:pt idx="21">
                  <c:v>5.8</c:v>
                </c:pt>
                <c:pt idx="22">
                  <c:v>5.6</c:v>
                </c:pt>
                <c:pt idx="23">
                  <c:v>5.3</c:v>
                </c:pt>
                <c:pt idx="24">
                  <c:v>5</c:v>
                </c:pt>
                <c:pt idx="25">
                  <c:v>4.8</c:v>
                </c:pt>
                <c:pt idx="26">
                  <c:v>4.5999999999999996</c:v>
                </c:pt>
                <c:pt idx="27">
                  <c:v>4.5</c:v>
                </c:pt>
                <c:pt idx="28">
                  <c:v>4.4000000000000004</c:v>
                </c:pt>
                <c:pt idx="29">
                  <c:v>4.3</c:v>
                </c:pt>
                <c:pt idx="30">
                  <c:v>4.2</c:v>
                </c:pt>
                <c:pt idx="31">
                  <c:v>4</c:v>
                </c:pt>
                <c:pt idx="32">
                  <c:v>3.9</c:v>
                </c:pt>
                <c:pt idx="33">
                  <c:v>3.8</c:v>
                </c:pt>
                <c:pt idx="34">
                  <c:v>3.6</c:v>
                </c:pt>
                <c:pt idx="35">
                  <c:v>3.5</c:v>
                </c:pt>
                <c:pt idx="36">
                  <c:v>3.4</c:v>
                </c:pt>
                <c:pt idx="37">
                  <c:v>3.3</c:v>
                </c:pt>
                <c:pt idx="38">
                  <c:v>3.2</c:v>
                </c:pt>
                <c:pt idx="39">
                  <c:v>3.1</c:v>
                </c:pt>
                <c:pt idx="40">
                  <c:v>2.9</c:v>
                </c:pt>
                <c:pt idx="41">
                  <c:v>2.9</c:v>
                </c:pt>
                <c:pt idx="42">
                  <c:v>2.7</c:v>
                </c:pt>
                <c:pt idx="43">
                  <c:v>2.6</c:v>
                </c:pt>
                <c:pt idx="44">
                  <c:v>2.5</c:v>
                </c:pt>
                <c:pt idx="45">
                  <c:v>2.4</c:v>
                </c:pt>
                <c:pt idx="46">
                  <c:v>2.2999999999999998</c:v>
                </c:pt>
                <c:pt idx="47">
                  <c:v>2.2000000000000002</c:v>
                </c:pt>
                <c:pt idx="48">
                  <c:v>2.2000000000000002</c:v>
                </c:pt>
                <c:pt idx="49">
                  <c:v>2.1</c:v>
                </c:pt>
                <c:pt idx="50">
                  <c:v>2</c:v>
                </c:pt>
                <c:pt idx="51">
                  <c:v>2</c:v>
                </c:pt>
                <c:pt idx="52">
                  <c:v>1.9</c:v>
                </c:pt>
                <c:pt idx="53">
                  <c:v>1.9</c:v>
                </c:pt>
                <c:pt idx="54">
                  <c:v>1.8</c:v>
                </c:pt>
                <c:pt idx="55">
                  <c:v>1.8</c:v>
                </c:pt>
                <c:pt idx="56">
                  <c:v>1.8</c:v>
                </c:pt>
                <c:pt idx="57">
                  <c:v>1.8</c:v>
                </c:pt>
                <c:pt idx="58">
                  <c:v>1.7</c:v>
                </c:pt>
                <c:pt idx="59">
                  <c:v>1.7</c:v>
                </c:pt>
                <c:pt idx="60">
                  <c:v>1.7</c:v>
                </c:pt>
                <c:pt idx="61">
                  <c:v>1.7</c:v>
                </c:pt>
                <c:pt idx="62">
                  <c:v>1.7</c:v>
                </c:pt>
                <c:pt idx="63">
                  <c:v>1.7</c:v>
                </c:pt>
                <c:pt idx="64">
                  <c:v>1.7</c:v>
                </c:pt>
                <c:pt idx="65">
                  <c:v>1.7</c:v>
                </c:pt>
                <c:pt idx="66">
                  <c:v>1.7</c:v>
                </c:pt>
                <c:pt idx="67">
                  <c:v>1.7</c:v>
                </c:pt>
                <c:pt idx="68">
                  <c:v>1.7</c:v>
                </c:pt>
                <c:pt idx="69">
                  <c:v>1.7</c:v>
                </c:pt>
                <c:pt idx="70">
                  <c:v>1.7</c:v>
                </c:pt>
                <c:pt idx="71">
                  <c:v>1.7</c:v>
                </c:pt>
                <c:pt idx="72">
                  <c:v>1.7</c:v>
                </c:pt>
              </c:numCache>
            </c:numRef>
          </c:val>
          <c:smooth val="0"/>
          <c:extLst>
            <c:ext xmlns:c16="http://schemas.microsoft.com/office/drawing/2014/chart" uri="{C3380CC4-5D6E-409C-BE32-E72D297353CC}">
              <c16:uniqueId val="{00000002-7C1A-4923-ACEA-810CB5417575}"/>
            </c:ext>
          </c:extLst>
        </c:ser>
        <c:dLbls>
          <c:showLegendKey val="0"/>
          <c:showVal val="0"/>
          <c:showCatName val="0"/>
          <c:showSerName val="0"/>
          <c:showPercent val="0"/>
          <c:showBubbleSize val="0"/>
        </c:dLbls>
        <c:smooth val="0"/>
        <c:axId val="75581472"/>
        <c:axId val="5670432"/>
      </c:lineChart>
      <c:catAx>
        <c:axId val="75581472"/>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r>
                  <a:rPr lang="en-US"/>
                  <a:t>Months</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70432"/>
        <c:crosses val="autoZero"/>
        <c:auto val="1"/>
        <c:lblAlgn val="ctr"/>
        <c:lblOffset val="100"/>
        <c:tickLblSkip val="10"/>
        <c:tickMarkSkip val="10"/>
        <c:noMultiLvlLbl val="0"/>
      </c:catAx>
      <c:valAx>
        <c:axId val="567043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558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738118069718122E-2"/>
          <c:y val="0.12240750339029983"/>
          <c:w val="0.8815042476465742"/>
          <c:h val="0.6839797505023324"/>
        </c:manualLayout>
      </c:layout>
      <c:lineChart>
        <c:grouping val="standard"/>
        <c:varyColors val="0"/>
        <c:ser>
          <c:idx val="0"/>
          <c:order val="0"/>
          <c:tx>
            <c:strRef>
              <c:f>'SF.3.B.'!$R$2</c:f>
              <c:strCache>
                <c:ptCount val="1"/>
                <c:pt idx="0">
                  <c:v>World Oil Production</c:v>
                </c:pt>
              </c:strCache>
            </c:strRef>
          </c:tx>
          <c:spPr>
            <a:ln w="76200" cap="rnd">
              <a:solidFill>
                <a:srgbClr val="002345"/>
              </a:solidFill>
              <a:round/>
            </a:ln>
            <a:effectLst/>
          </c:spPr>
          <c:marker>
            <c:symbol val="none"/>
          </c:marker>
          <c:cat>
            <c:numRef>
              <c:f>'SF.3.B.'!$Q$3:$Q$75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'SF.3.B.'!$R$3:$R$75</c:f>
              <c:numCache>
                <c:formatCode>0.0</c:formatCode>
                <c:ptCount val="73"/>
                <c:pt idx="0">
                  <c:v>-1.08</c:v>
                </c:pt>
                <c:pt idx="1">
                  <c:v>-0.8</c:v>
                </c:pt>
                <c:pt idx="2">
                  <c:v>-0.5</c:v>
                </c:pt>
                <c:pt idx="3">
                  <c:v>-0.33</c:v>
                </c:pt>
                <c:pt idx="4">
                  <c:v>-0.32</c:v>
                </c:pt>
                <c:pt idx="5">
                  <c:v>-0.22</c:v>
                </c:pt>
                <c:pt idx="6">
                  <c:v>-0.21</c:v>
                </c:pt>
                <c:pt idx="7">
                  <c:v>-0.06</c:v>
                </c:pt>
                <c:pt idx="8">
                  <c:v>-0.12</c:v>
                </c:pt>
                <c:pt idx="9">
                  <c:v>-0.23</c:v>
                </c:pt>
                <c:pt idx="10">
                  <c:v>-0.16</c:v>
                </c:pt>
                <c:pt idx="11">
                  <c:v>-7.0000000000000007E-2</c:v>
                </c:pt>
                <c:pt idx="12">
                  <c:v>-0.19</c:v>
                </c:pt>
                <c:pt idx="13">
                  <c:v>-0.2</c:v>
                </c:pt>
                <c:pt idx="14">
                  <c:v>-0.24</c:v>
                </c:pt>
                <c:pt idx="15">
                  <c:v>-0.28999999999999998</c:v>
                </c:pt>
                <c:pt idx="16">
                  <c:v>-0.27</c:v>
                </c:pt>
                <c:pt idx="17">
                  <c:v>-0.21</c:v>
                </c:pt>
                <c:pt idx="18">
                  <c:v>-0.19</c:v>
                </c:pt>
                <c:pt idx="19">
                  <c:v>-0.21</c:v>
                </c:pt>
                <c:pt idx="20">
                  <c:v>-0.19</c:v>
                </c:pt>
                <c:pt idx="21">
                  <c:v>-0.2</c:v>
                </c:pt>
                <c:pt idx="22">
                  <c:v>-0.22</c:v>
                </c:pt>
                <c:pt idx="23">
                  <c:v>-0.23</c:v>
                </c:pt>
                <c:pt idx="24">
                  <c:v>-0.25</c:v>
                </c:pt>
                <c:pt idx="25">
                  <c:v>-0.27</c:v>
                </c:pt>
                <c:pt idx="26">
                  <c:v>-0.26</c:v>
                </c:pt>
                <c:pt idx="27">
                  <c:v>-0.26</c:v>
                </c:pt>
                <c:pt idx="28">
                  <c:v>-0.26</c:v>
                </c:pt>
                <c:pt idx="29">
                  <c:v>-0.22</c:v>
                </c:pt>
                <c:pt idx="30">
                  <c:v>-0.2</c:v>
                </c:pt>
                <c:pt idx="31">
                  <c:v>-0.2</c:v>
                </c:pt>
                <c:pt idx="32">
                  <c:v>-0.18</c:v>
                </c:pt>
                <c:pt idx="33">
                  <c:v>-0.18</c:v>
                </c:pt>
                <c:pt idx="34">
                  <c:v>-0.18</c:v>
                </c:pt>
                <c:pt idx="35">
                  <c:v>-0.18</c:v>
                </c:pt>
                <c:pt idx="36">
                  <c:v>-0.17</c:v>
                </c:pt>
                <c:pt idx="37">
                  <c:v>-0.17</c:v>
                </c:pt>
                <c:pt idx="38">
                  <c:v>-0.16</c:v>
                </c:pt>
                <c:pt idx="39">
                  <c:v>-0.16</c:v>
                </c:pt>
                <c:pt idx="40">
                  <c:v>-0.16</c:v>
                </c:pt>
                <c:pt idx="41">
                  <c:v>-0.15</c:v>
                </c:pt>
                <c:pt idx="42">
                  <c:v>-0.14000000000000001</c:v>
                </c:pt>
                <c:pt idx="43">
                  <c:v>-0.14000000000000001</c:v>
                </c:pt>
                <c:pt idx="44">
                  <c:v>-0.13</c:v>
                </c:pt>
                <c:pt idx="45">
                  <c:v>-0.12</c:v>
                </c:pt>
                <c:pt idx="46">
                  <c:v>-0.12</c:v>
                </c:pt>
                <c:pt idx="47">
                  <c:v>-0.12</c:v>
                </c:pt>
                <c:pt idx="48">
                  <c:v>-0.12</c:v>
                </c:pt>
                <c:pt idx="49">
                  <c:v>-0.13</c:v>
                </c:pt>
                <c:pt idx="50">
                  <c:v>-0.13</c:v>
                </c:pt>
                <c:pt idx="51">
                  <c:v>-0.13</c:v>
                </c:pt>
                <c:pt idx="52">
                  <c:v>-0.13</c:v>
                </c:pt>
                <c:pt idx="53">
                  <c:v>-0.14000000000000001</c:v>
                </c:pt>
                <c:pt idx="54">
                  <c:v>-0.14000000000000001</c:v>
                </c:pt>
                <c:pt idx="55">
                  <c:v>-0.14000000000000001</c:v>
                </c:pt>
                <c:pt idx="56">
                  <c:v>-0.14000000000000001</c:v>
                </c:pt>
                <c:pt idx="57">
                  <c:v>-0.14000000000000001</c:v>
                </c:pt>
                <c:pt idx="58">
                  <c:v>-0.15</c:v>
                </c:pt>
                <c:pt idx="59">
                  <c:v>-0.15</c:v>
                </c:pt>
                <c:pt idx="60">
                  <c:v>-0.16</c:v>
                </c:pt>
                <c:pt idx="61">
                  <c:v>-0.17</c:v>
                </c:pt>
                <c:pt idx="62">
                  <c:v>-0.17</c:v>
                </c:pt>
                <c:pt idx="63">
                  <c:v>-0.18</c:v>
                </c:pt>
                <c:pt idx="64">
                  <c:v>-0.18</c:v>
                </c:pt>
                <c:pt idx="65">
                  <c:v>-0.19</c:v>
                </c:pt>
                <c:pt idx="66">
                  <c:v>-0.2</c:v>
                </c:pt>
                <c:pt idx="67">
                  <c:v>-0.2</c:v>
                </c:pt>
                <c:pt idx="68">
                  <c:v>-0.21</c:v>
                </c:pt>
                <c:pt idx="69">
                  <c:v>-0.21</c:v>
                </c:pt>
                <c:pt idx="70">
                  <c:v>-0.22</c:v>
                </c:pt>
                <c:pt idx="71">
                  <c:v>-0.23</c:v>
                </c:pt>
                <c:pt idx="72">
                  <c:v>-0.24</c:v>
                </c:pt>
              </c:numCache>
            </c:numRef>
          </c:val>
          <c:smooth val="0"/>
          <c:extLst>
            <c:ext xmlns:c16="http://schemas.microsoft.com/office/drawing/2014/chart" uri="{C3380CC4-5D6E-409C-BE32-E72D297353CC}">
              <c16:uniqueId val="{00000000-2BA8-4F27-919B-0C15BF9F7BE3}"/>
            </c:ext>
          </c:extLst>
        </c:ser>
        <c:ser>
          <c:idx val="1"/>
          <c:order val="1"/>
          <c:tx>
            <c:strRef>
              <c:f>'SF.3.B.'!$S$2</c:f>
              <c:strCache>
                <c:ptCount val="1"/>
                <c:pt idx="0">
                  <c:v>Lower</c:v>
                </c:pt>
              </c:strCache>
            </c:strRef>
          </c:tx>
          <c:spPr>
            <a:ln w="76200" cap="rnd">
              <a:solidFill>
                <a:srgbClr val="002345"/>
              </a:solidFill>
              <a:prstDash val="sysDash"/>
              <a:round/>
            </a:ln>
            <a:effectLst/>
          </c:spPr>
          <c:marker>
            <c:symbol val="none"/>
          </c:marker>
          <c:cat>
            <c:numRef>
              <c:f>'SF.3.B.'!$Q$3:$Q$75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'SF.3.B.'!$S$3:$S$75</c:f>
              <c:numCache>
                <c:formatCode>0.0</c:formatCode>
                <c:ptCount val="73"/>
                <c:pt idx="0">
                  <c:v>-1.58</c:v>
                </c:pt>
                <c:pt idx="1">
                  <c:v>-1.18</c:v>
                </c:pt>
                <c:pt idx="2">
                  <c:v>-0.83</c:v>
                </c:pt>
                <c:pt idx="3">
                  <c:v>-0.63</c:v>
                </c:pt>
                <c:pt idx="4">
                  <c:v>-0.6</c:v>
                </c:pt>
                <c:pt idx="5">
                  <c:v>-0.46</c:v>
                </c:pt>
                <c:pt idx="6">
                  <c:v>-0.48</c:v>
                </c:pt>
                <c:pt idx="7">
                  <c:v>-0.33</c:v>
                </c:pt>
                <c:pt idx="8">
                  <c:v>-0.42</c:v>
                </c:pt>
                <c:pt idx="9">
                  <c:v>-0.56000000000000005</c:v>
                </c:pt>
                <c:pt idx="10">
                  <c:v>-0.45</c:v>
                </c:pt>
                <c:pt idx="11">
                  <c:v>-0.32</c:v>
                </c:pt>
                <c:pt idx="12">
                  <c:v>-0.43</c:v>
                </c:pt>
                <c:pt idx="13">
                  <c:v>-0.44</c:v>
                </c:pt>
                <c:pt idx="14">
                  <c:v>-0.48</c:v>
                </c:pt>
                <c:pt idx="15">
                  <c:v>-0.55000000000000004</c:v>
                </c:pt>
                <c:pt idx="16">
                  <c:v>-0.54</c:v>
                </c:pt>
                <c:pt idx="17">
                  <c:v>-0.47</c:v>
                </c:pt>
                <c:pt idx="18">
                  <c:v>-0.45</c:v>
                </c:pt>
                <c:pt idx="19">
                  <c:v>-0.46</c:v>
                </c:pt>
                <c:pt idx="20">
                  <c:v>-0.43</c:v>
                </c:pt>
                <c:pt idx="21">
                  <c:v>-0.42</c:v>
                </c:pt>
                <c:pt idx="22">
                  <c:v>-0.44</c:v>
                </c:pt>
                <c:pt idx="23">
                  <c:v>-0.45</c:v>
                </c:pt>
                <c:pt idx="24">
                  <c:v>-0.47</c:v>
                </c:pt>
                <c:pt idx="25">
                  <c:v>-0.5</c:v>
                </c:pt>
                <c:pt idx="26">
                  <c:v>-0.48</c:v>
                </c:pt>
                <c:pt idx="27">
                  <c:v>-0.48</c:v>
                </c:pt>
                <c:pt idx="28">
                  <c:v>-0.48</c:v>
                </c:pt>
                <c:pt idx="29">
                  <c:v>-0.43</c:v>
                </c:pt>
                <c:pt idx="30">
                  <c:v>-0.42</c:v>
                </c:pt>
                <c:pt idx="31">
                  <c:v>-0.41</c:v>
                </c:pt>
                <c:pt idx="32">
                  <c:v>-0.39</c:v>
                </c:pt>
                <c:pt idx="33">
                  <c:v>-0.38</c:v>
                </c:pt>
                <c:pt idx="34">
                  <c:v>-0.39</c:v>
                </c:pt>
                <c:pt idx="35">
                  <c:v>-0.38</c:v>
                </c:pt>
                <c:pt idx="36">
                  <c:v>-0.38</c:v>
                </c:pt>
                <c:pt idx="37">
                  <c:v>-0.37</c:v>
                </c:pt>
                <c:pt idx="38">
                  <c:v>-0.37</c:v>
                </c:pt>
                <c:pt idx="39">
                  <c:v>-0.37</c:v>
                </c:pt>
                <c:pt idx="40">
                  <c:v>-0.37</c:v>
                </c:pt>
                <c:pt idx="41">
                  <c:v>-0.36</c:v>
                </c:pt>
                <c:pt idx="42">
                  <c:v>-0.35</c:v>
                </c:pt>
                <c:pt idx="43">
                  <c:v>-0.35</c:v>
                </c:pt>
                <c:pt idx="44">
                  <c:v>-0.34</c:v>
                </c:pt>
                <c:pt idx="45">
                  <c:v>-0.33</c:v>
                </c:pt>
                <c:pt idx="46">
                  <c:v>-0.33</c:v>
                </c:pt>
                <c:pt idx="47">
                  <c:v>-0.33</c:v>
                </c:pt>
                <c:pt idx="48">
                  <c:v>-0.33</c:v>
                </c:pt>
                <c:pt idx="49">
                  <c:v>-0.34</c:v>
                </c:pt>
                <c:pt idx="50">
                  <c:v>-0.34</c:v>
                </c:pt>
                <c:pt idx="51">
                  <c:v>-0.34</c:v>
                </c:pt>
                <c:pt idx="52">
                  <c:v>-0.34</c:v>
                </c:pt>
                <c:pt idx="53">
                  <c:v>-0.35</c:v>
                </c:pt>
                <c:pt idx="54">
                  <c:v>-0.35</c:v>
                </c:pt>
                <c:pt idx="55">
                  <c:v>-0.35</c:v>
                </c:pt>
                <c:pt idx="56">
                  <c:v>-0.35</c:v>
                </c:pt>
                <c:pt idx="57">
                  <c:v>-0.36</c:v>
                </c:pt>
                <c:pt idx="58">
                  <c:v>-0.36</c:v>
                </c:pt>
                <c:pt idx="59">
                  <c:v>-0.37</c:v>
                </c:pt>
                <c:pt idx="60">
                  <c:v>-0.38</c:v>
                </c:pt>
                <c:pt idx="61">
                  <c:v>-0.38</c:v>
                </c:pt>
                <c:pt idx="62">
                  <c:v>-0.39</c:v>
                </c:pt>
                <c:pt idx="63">
                  <c:v>-0.39</c:v>
                </c:pt>
                <c:pt idx="64">
                  <c:v>-0.4</c:v>
                </c:pt>
                <c:pt idx="65">
                  <c:v>-0.41</c:v>
                </c:pt>
                <c:pt idx="66">
                  <c:v>-0.41</c:v>
                </c:pt>
                <c:pt idx="67">
                  <c:v>-0.42</c:v>
                </c:pt>
                <c:pt idx="68">
                  <c:v>-0.42</c:v>
                </c:pt>
                <c:pt idx="69">
                  <c:v>-0.43</c:v>
                </c:pt>
                <c:pt idx="70">
                  <c:v>-0.44</c:v>
                </c:pt>
                <c:pt idx="71">
                  <c:v>-0.45</c:v>
                </c:pt>
                <c:pt idx="72">
                  <c:v>-0.45</c:v>
                </c:pt>
              </c:numCache>
            </c:numRef>
          </c:val>
          <c:smooth val="0"/>
          <c:extLst>
            <c:ext xmlns:c16="http://schemas.microsoft.com/office/drawing/2014/chart" uri="{C3380CC4-5D6E-409C-BE32-E72D297353CC}">
              <c16:uniqueId val="{00000001-2BA8-4F27-919B-0C15BF9F7BE3}"/>
            </c:ext>
          </c:extLst>
        </c:ser>
        <c:ser>
          <c:idx val="2"/>
          <c:order val="2"/>
          <c:tx>
            <c:strRef>
              <c:f>'SF.3.B.'!$T$2</c:f>
              <c:strCache>
                <c:ptCount val="1"/>
                <c:pt idx="0">
                  <c:v>upper</c:v>
                </c:pt>
              </c:strCache>
            </c:strRef>
          </c:tx>
          <c:spPr>
            <a:ln w="76200" cap="rnd">
              <a:solidFill>
                <a:srgbClr val="002345"/>
              </a:solidFill>
              <a:prstDash val="sysDash"/>
              <a:round/>
            </a:ln>
            <a:effectLst/>
          </c:spPr>
          <c:marker>
            <c:symbol val="none"/>
          </c:marker>
          <c:cat>
            <c:numRef>
              <c:f>'SF.3.B.'!$Q$3:$Q$75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'SF.3.B.'!$T$3:$T$75</c:f>
              <c:numCache>
                <c:formatCode>0.0</c:formatCode>
                <c:ptCount val="73"/>
                <c:pt idx="0">
                  <c:v>-0.62</c:v>
                </c:pt>
                <c:pt idx="1">
                  <c:v>-0.44</c:v>
                </c:pt>
                <c:pt idx="2">
                  <c:v>-0.19</c:v>
                </c:pt>
                <c:pt idx="3">
                  <c:v>-0.04</c:v>
                </c:pt>
                <c:pt idx="4">
                  <c:v>-0.05</c:v>
                </c:pt>
                <c:pt idx="5">
                  <c:v>0.02</c:v>
                </c:pt>
                <c:pt idx="6">
                  <c:v>0.08</c:v>
                </c:pt>
                <c:pt idx="7">
                  <c:v>0.2</c:v>
                </c:pt>
                <c:pt idx="8">
                  <c:v>0.17</c:v>
                </c:pt>
                <c:pt idx="9">
                  <c:v>7.0000000000000007E-2</c:v>
                </c:pt>
                <c:pt idx="10">
                  <c:v>0.14000000000000001</c:v>
                </c:pt>
                <c:pt idx="11">
                  <c:v>0.17</c:v>
                </c:pt>
                <c:pt idx="12">
                  <c:v>0.05</c:v>
                </c:pt>
                <c:pt idx="13">
                  <c:v>0.03</c:v>
                </c:pt>
                <c:pt idx="14">
                  <c:v>-0.01</c:v>
                </c:pt>
                <c:pt idx="15">
                  <c:v>-0.05</c:v>
                </c:pt>
                <c:pt idx="16">
                  <c:v>0</c:v>
                </c:pt>
                <c:pt idx="17">
                  <c:v>0.06</c:v>
                </c:pt>
                <c:pt idx="18">
                  <c:v>0.05</c:v>
                </c:pt>
                <c:pt idx="19">
                  <c:v>0.02</c:v>
                </c:pt>
                <c:pt idx="20">
                  <c:v>0.03</c:v>
                </c:pt>
                <c:pt idx="21">
                  <c:v>0.03</c:v>
                </c:pt>
                <c:pt idx="22">
                  <c:v>0</c:v>
                </c:pt>
                <c:pt idx="23">
                  <c:v>-0.01</c:v>
                </c:pt>
                <c:pt idx="24">
                  <c:v>-0.03</c:v>
                </c:pt>
                <c:pt idx="25">
                  <c:v>-0.06</c:v>
                </c:pt>
                <c:pt idx="26">
                  <c:v>-0.04</c:v>
                </c:pt>
                <c:pt idx="27">
                  <c:v>-0.04</c:v>
                </c:pt>
                <c:pt idx="28">
                  <c:v>-0.03</c:v>
                </c:pt>
                <c:pt idx="29">
                  <c:v>0.01</c:v>
                </c:pt>
                <c:pt idx="30">
                  <c:v>0.02</c:v>
                </c:pt>
                <c:pt idx="31">
                  <c:v>0.02</c:v>
                </c:pt>
                <c:pt idx="32">
                  <c:v>0.04</c:v>
                </c:pt>
                <c:pt idx="33">
                  <c:v>0.05</c:v>
                </c:pt>
                <c:pt idx="34">
                  <c:v>0.05</c:v>
                </c:pt>
                <c:pt idx="35">
                  <c:v>0.05</c:v>
                </c:pt>
                <c:pt idx="36">
                  <c:v>0.06</c:v>
                </c:pt>
                <c:pt idx="37">
                  <c:v>0.06</c:v>
                </c:pt>
                <c:pt idx="38">
                  <c:v>0.06</c:v>
                </c:pt>
                <c:pt idx="39">
                  <c:v>7.0000000000000007E-2</c:v>
                </c:pt>
                <c:pt idx="40">
                  <c:v>7.0000000000000007E-2</c:v>
                </c:pt>
                <c:pt idx="41">
                  <c:v>0.08</c:v>
                </c:pt>
                <c:pt idx="42">
                  <c:v>0.08</c:v>
                </c:pt>
                <c:pt idx="43">
                  <c:v>0.09</c:v>
                </c:pt>
                <c:pt idx="44">
                  <c:v>0.09</c:v>
                </c:pt>
                <c:pt idx="45">
                  <c:v>0.1</c:v>
                </c:pt>
                <c:pt idx="46">
                  <c:v>0.1</c:v>
                </c:pt>
                <c:pt idx="47">
                  <c:v>0.1</c:v>
                </c:pt>
                <c:pt idx="48">
                  <c:v>0.1</c:v>
                </c:pt>
                <c:pt idx="49">
                  <c:v>0.09</c:v>
                </c:pt>
                <c:pt idx="50">
                  <c:v>0.09</c:v>
                </c:pt>
                <c:pt idx="51">
                  <c:v>0.09</c:v>
                </c:pt>
                <c:pt idx="52">
                  <c:v>0.09</c:v>
                </c:pt>
                <c:pt idx="53">
                  <c:v>0.09</c:v>
                </c:pt>
                <c:pt idx="54">
                  <c:v>0.09</c:v>
                </c:pt>
                <c:pt idx="55">
                  <c:v>0.09</c:v>
                </c:pt>
                <c:pt idx="56">
                  <c:v>0.08</c:v>
                </c:pt>
                <c:pt idx="57">
                  <c:v>0.08</c:v>
                </c:pt>
                <c:pt idx="58">
                  <c:v>0.08</c:v>
                </c:pt>
                <c:pt idx="59">
                  <c:v>7.0000000000000007E-2</c:v>
                </c:pt>
                <c:pt idx="60">
                  <c:v>7.0000000000000007E-2</c:v>
                </c:pt>
                <c:pt idx="61">
                  <c:v>0.06</c:v>
                </c:pt>
                <c:pt idx="62">
                  <c:v>0.06</c:v>
                </c:pt>
                <c:pt idx="63">
                  <c:v>0.05</c:v>
                </c:pt>
                <c:pt idx="64">
                  <c:v>0.05</c:v>
                </c:pt>
                <c:pt idx="65">
                  <c:v>0.04</c:v>
                </c:pt>
                <c:pt idx="66">
                  <c:v>0.04</c:v>
                </c:pt>
                <c:pt idx="67">
                  <c:v>0.03</c:v>
                </c:pt>
                <c:pt idx="68">
                  <c:v>0.02</c:v>
                </c:pt>
                <c:pt idx="69">
                  <c:v>0.02</c:v>
                </c:pt>
                <c:pt idx="70">
                  <c:v>0.01</c:v>
                </c:pt>
                <c:pt idx="71">
                  <c:v>0</c:v>
                </c:pt>
                <c:pt idx="72">
                  <c:v>-0.01</c:v>
                </c:pt>
              </c:numCache>
            </c:numRef>
          </c:val>
          <c:smooth val="0"/>
          <c:extLst>
            <c:ext xmlns:c16="http://schemas.microsoft.com/office/drawing/2014/chart" uri="{C3380CC4-5D6E-409C-BE32-E72D297353CC}">
              <c16:uniqueId val="{00000002-2BA8-4F27-919B-0C15BF9F7BE3}"/>
            </c:ext>
          </c:extLst>
        </c:ser>
        <c:dLbls>
          <c:showLegendKey val="0"/>
          <c:showVal val="0"/>
          <c:showCatName val="0"/>
          <c:showSerName val="0"/>
          <c:showPercent val="0"/>
          <c:showBubbleSize val="0"/>
        </c:dLbls>
        <c:smooth val="0"/>
        <c:axId val="75581472"/>
        <c:axId val="5670432"/>
      </c:lineChart>
      <c:catAx>
        <c:axId val="75581472"/>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r>
                  <a:rPr lang="en-US"/>
                  <a:t>Months</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70432"/>
        <c:crosses val="autoZero"/>
        <c:auto val="1"/>
        <c:lblAlgn val="ctr"/>
        <c:lblOffset val="100"/>
        <c:tickLblSkip val="10"/>
        <c:tickMarkSkip val="10"/>
        <c:noMultiLvlLbl val="0"/>
      </c:catAx>
      <c:valAx>
        <c:axId val="5670432"/>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5581472"/>
        <c:crosses val="autoZero"/>
        <c:crossBetween val="between"/>
        <c:majorUnit val="0.4"/>
      </c:valAx>
      <c:spPr>
        <a:noFill/>
        <a:ln>
          <a:noFill/>
        </a:ln>
        <a:effectLst/>
      </c:spPr>
    </c:plotArea>
    <c:plotVisOnly val="1"/>
    <c:dispBlanksAs val="gap"/>
    <c:showDLblsOverMax val="0"/>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738118069718122E-2"/>
          <c:y val="0.11158694432808162"/>
          <c:w val="0.8815042476465742"/>
          <c:h val="0.69480030956455063"/>
        </c:manualLayout>
      </c:layout>
      <c:lineChart>
        <c:grouping val="standard"/>
        <c:varyColors val="0"/>
        <c:ser>
          <c:idx val="0"/>
          <c:order val="0"/>
          <c:tx>
            <c:strRef>
              <c:f>'SF.3.C.'!$R$2</c:f>
              <c:strCache>
                <c:ptCount val="1"/>
                <c:pt idx="0">
                  <c:v>World Oil Inventories</c:v>
                </c:pt>
              </c:strCache>
            </c:strRef>
          </c:tx>
          <c:spPr>
            <a:ln w="76200" cap="rnd">
              <a:solidFill>
                <a:srgbClr val="002345"/>
              </a:solidFill>
              <a:round/>
            </a:ln>
            <a:effectLst/>
          </c:spPr>
          <c:marker>
            <c:symbol val="none"/>
          </c:marker>
          <c:cat>
            <c:numRef>
              <c:f>'SF.3.C.'!$Q$3:$Q$75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'SF.3.C.'!$R$3:$R$75</c:f>
              <c:numCache>
                <c:formatCode>0</c:formatCode>
                <c:ptCount val="73"/>
                <c:pt idx="0">
                  <c:v>-0.2</c:v>
                </c:pt>
                <c:pt idx="1">
                  <c:v>-0.37</c:v>
                </c:pt>
                <c:pt idx="2">
                  <c:v>-0.26</c:v>
                </c:pt>
                <c:pt idx="3">
                  <c:v>-0.32</c:v>
                </c:pt>
                <c:pt idx="4">
                  <c:v>-0.53</c:v>
                </c:pt>
                <c:pt idx="5">
                  <c:v>-0.62</c:v>
                </c:pt>
                <c:pt idx="6">
                  <c:v>-0.45</c:v>
                </c:pt>
                <c:pt idx="7">
                  <c:v>-0.47</c:v>
                </c:pt>
                <c:pt idx="8">
                  <c:v>-0.46</c:v>
                </c:pt>
                <c:pt idx="9">
                  <c:v>-0.27</c:v>
                </c:pt>
                <c:pt idx="10">
                  <c:v>-0.24</c:v>
                </c:pt>
                <c:pt idx="11">
                  <c:v>-0.21</c:v>
                </c:pt>
                <c:pt idx="12">
                  <c:v>-0.17</c:v>
                </c:pt>
                <c:pt idx="13">
                  <c:v>-0.17</c:v>
                </c:pt>
                <c:pt idx="14">
                  <c:v>-0.13</c:v>
                </c:pt>
                <c:pt idx="15">
                  <c:v>-0.08</c:v>
                </c:pt>
                <c:pt idx="16">
                  <c:v>-0.09</c:v>
                </c:pt>
                <c:pt idx="17">
                  <c:v>-0.05</c:v>
                </c:pt>
                <c:pt idx="18">
                  <c:v>0.03</c:v>
                </c:pt>
                <c:pt idx="19">
                  <c:v>0.04</c:v>
                </c:pt>
                <c:pt idx="20">
                  <c:v>0.03</c:v>
                </c:pt>
                <c:pt idx="21">
                  <c:v>7.0000000000000007E-2</c:v>
                </c:pt>
                <c:pt idx="22">
                  <c:v>0.11</c:v>
                </c:pt>
                <c:pt idx="23">
                  <c:v>0.14000000000000001</c:v>
                </c:pt>
                <c:pt idx="24">
                  <c:v>0.19</c:v>
                </c:pt>
                <c:pt idx="25">
                  <c:v>0.23</c:v>
                </c:pt>
                <c:pt idx="26">
                  <c:v>0.24</c:v>
                </c:pt>
                <c:pt idx="27">
                  <c:v>0.26</c:v>
                </c:pt>
                <c:pt idx="28">
                  <c:v>0.28000000000000003</c:v>
                </c:pt>
                <c:pt idx="29">
                  <c:v>0.28999999999999998</c:v>
                </c:pt>
                <c:pt idx="30">
                  <c:v>0.31</c:v>
                </c:pt>
                <c:pt idx="31">
                  <c:v>0.34</c:v>
                </c:pt>
                <c:pt idx="32">
                  <c:v>0.36</c:v>
                </c:pt>
                <c:pt idx="33">
                  <c:v>0.39</c:v>
                </c:pt>
                <c:pt idx="34">
                  <c:v>0.42</c:v>
                </c:pt>
                <c:pt idx="35">
                  <c:v>0.44</c:v>
                </c:pt>
                <c:pt idx="36">
                  <c:v>0.47</c:v>
                </c:pt>
                <c:pt idx="37">
                  <c:v>0.49</c:v>
                </c:pt>
                <c:pt idx="38">
                  <c:v>0.51</c:v>
                </c:pt>
                <c:pt idx="39">
                  <c:v>0.53</c:v>
                </c:pt>
                <c:pt idx="40">
                  <c:v>0.54</c:v>
                </c:pt>
                <c:pt idx="41">
                  <c:v>0.56000000000000005</c:v>
                </c:pt>
                <c:pt idx="42">
                  <c:v>0.56999999999999995</c:v>
                </c:pt>
                <c:pt idx="43">
                  <c:v>0.59</c:v>
                </c:pt>
                <c:pt idx="44">
                  <c:v>0.6</c:v>
                </c:pt>
                <c:pt idx="45">
                  <c:v>0.62</c:v>
                </c:pt>
                <c:pt idx="46">
                  <c:v>0.64</c:v>
                </c:pt>
                <c:pt idx="47">
                  <c:v>0.65</c:v>
                </c:pt>
                <c:pt idx="48">
                  <c:v>0.67</c:v>
                </c:pt>
                <c:pt idx="49">
                  <c:v>0.69</c:v>
                </c:pt>
                <c:pt idx="50">
                  <c:v>0.71</c:v>
                </c:pt>
                <c:pt idx="51">
                  <c:v>0.72</c:v>
                </c:pt>
                <c:pt idx="52">
                  <c:v>0.73</c:v>
                </c:pt>
                <c:pt idx="53">
                  <c:v>0.75</c:v>
                </c:pt>
                <c:pt idx="54">
                  <c:v>0.76</c:v>
                </c:pt>
                <c:pt idx="55">
                  <c:v>0.77</c:v>
                </c:pt>
                <c:pt idx="56">
                  <c:v>0.78</c:v>
                </c:pt>
                <c:pt idx="57">
                  <c:v>0.79</c:v>
                </c:pt>
                <c:pt idx="58">
                  <c:v>0.81</c:v>
                </c:pt>
                <c:pt idx="59">
                  <c:v>0.82</c:v>
                </c:pt>
                <c:pt idx="60">
                  <c:v>0.83</c:v>
                </c:pt>
                <c:pt idx="61">
                  <c:v>0.84</c:v>
                </c:pt>
                <c:pt idx="62">
                  <c:v>0.85</c:v>
                </c:pt>
                <c:pt idx="63">
                  <c:v>0.86</c:v>
                </c:pt>
                <c:pt idx="64">
                  <c:v>0.87</c:v>
                </c:pt>
                <c:pt idx="65">
                  <c:v>0.88</c:v>
                </c:pt>
                <c:pt idx="66">
                  <c:v>0.89</c:v>
                </c:pt>
                <c:pt idx="67">
                  <c:v>0.9</c:v>
                </c:pt>
                <c:pt idx="68">
                  <c:v>0.9</c:v>
                </c:pt>
                <c:pt idx="69">
                  <c:v>0.91</c:v>
                </c:pt>
                <c:pt idx="70">
                  <c:v>0.92</c:v>
                </c:pt>
                <c:pt idx="71">
                  <c:v>0.93</c:v>
                </c:pt>
                <c:pt idx="72">
                  <c:v>0.94</c:v>
                </c:pt>
              </c:numCache>
            </c:numRef>
          </c:val>
          <c:smooth val="0"/>
          <c:extLst>
            <c:ext xmlns:c16="http://schemas.microsoft.com/office/drawing/2014/chart" uri="{C3380CC4-5D6E-409C-BE32-E72D297353CC}">
              <c16:uniqueId val="{00000000-B6C8-49ED-B3E6-12366D56BBE6}"/>
            </c:ext>
          </c:extLst>
        </c:ser>
        <c:ser>
          <c:idx val="1"/>
          <c:order val="1"/>
          <c:tx>
            <c:strRef>
              <c:f>'SF.3.C.'!$S$2</c:f>
              <c:strCache>
                <c:ptCount val="1"/>
                <c:pt idx="0">
                  <c:v>Lower</c:v>
                </c:pt>
              </c:strCache>
            </c:strRef>
          </c:tx>
          <c:spPr>
            <a:ln w="76200" cap="rnd">
              <a:solidFill>
                <a:srgbClr val="002345"/>
              </a:solidFill>
              <a:prstDash val="sysDash"/>
              <a:round/>
            </a:ln>
            <a:effectLst/>
          </c:spPr>
          <c:marker>
            <c:symbol val="none"/>
          </c:marker>
          <c:cat>
            <c:numRef>
              <c:f>'SF.3.C.'!$Q$3:$Q$75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'SF.3.C.'!$S$3:$S$75</c:f>
              <c:numCache>
                <c:formatCode>0</c:formatCode>
                <c:ptCount val="73"/>
                <c:pt idx="0">
                  <c:v>-0.65</c:v>
                </c:pt>
                <c:pt idx="1">
                  <c:v>-0.82</c:v>
                </c:pt>
                <c:pt idx="2">
                  <c:v>-0.7</c:v>
                </c:pt>
                <c:pt idx="3">
                  <c:v>-0.76</c:v>
                </c:pt>
                <c:pt idx="4">
                  <c:v>-0.89</c:v>
                </c:pt>
                <c:pt idx="5">
                  <c:v>-0.97</c:v>
                </c:pt>
                <c:pt idx="6">
                  <c:v>-0.84</c:v>
                </c:pt>
                <c:pt idx="7">
                  <c:v>-0.86</c:v>
                </c:pt>
                <c:pt idx="8">
                  <c:v>-0.84</c:v>
                </c:pt>
                <c:pt idx="9">
                  <c:v>-0.66</c:v>
                </c:pt>
                <c:pt idx="10">
                  <c:v>-0.64</c:v>
                </c:pt>
                <c:pt idx="11">
                  <c:v>-0.63</c:v>
                </c:pt>
                <c:pt idx="12">
                  <c:v>-0.61</c:v>
                </c:pt>
                <c:pt idx="13">
                  <c:v>-0.59</c:v>
                </c:pt>
                <c:pt idx="14">
                  <c:v>-0.56000000000000005</c:v>
                </c:pt>
                <c:pt idx="15">
                  <c:v>-0.5</c:v>
                </c:pt>
                <c:pt idx="16">
                  <c:v>-0.53</c:v>
                </c:pt>
                <c:pt idx="17">
                  <c:v>-0.47</c:v>
                </c:pt>
                <c:pt idx="18">
                  <c:v>-0.4</c:v>
                </c:pt>
                <c:pt idx="19">
                  <c:v>-0.4</c:v>
                </c:pt>
                <c:pt idx="20">
                  <c:v>-0.42</c:v>
                </c:pt>
                <c:pt idx="21">
                  <c:v>-0.38</c:v>
                </c:pt>
                <c:pt idx="22">
                  <c:v>-0.34</c:v>
                </c:pt>
                <c:pt idx="23">
                  <c:v>-0.31</c:v>
                </c:pt>
                <c:pt idx="24">
                  <c:v>-0.27</c:v>
                </c:pt>
                <c:pt idx="25">
                  <c:v>-0.23</c:v>
                </c:pt>
                <c:pt idx="26">
                  <c:v>-0.22</c:v>
                </c:pt>
                <c:pt idx="27">
                  <c:v>-0.21</c:v>
                </c:pt>
                <c:pt idx="28">
                  <c:v>-0.19</c:v>
                </c:pt>
                <c:pt idx="29">
                  <c:v>-0.18</c:v>
                </c:pt>
                <c:pt idx="30">
                  <c:v>-0.15</c:v>
                </c:pt>
                <c:pt idx="31">
                  <c:v>-0.13</c:v>
                </c:pt>
                <c:pt idx="32">
                  <c:v>-0.11</c:v>
                </c:pt>
                <c:pt idx="33">
                  <c:v>-0.08</c:v>
                </c:pt>
                <c:pt idx="34">
                  <c:v>-0.06</c:v>
                </c:pt>
                <c:pt idx="35">
                  <c:v>-0.04</c:v>
                </c:pt>
                <c:pt idx="36">
                  <c:v>-0.02</c:v>
                </c:pt>
                <c:pt idx="37">
                  <c:v>0.01</c:v>
                </c:pt>
                <c:pt idx="38">
                  <c:v>0.02</c:v>
                </c:pt>
                <c:pt idx="39">
                  <c:v>0.05</c:v>
                </c:pt>
                <c:pt idx="40">
                  <c:v>0.06</c:v>
                </c:pt>
                <c:pt idx="41">
                  <c:v>7.0000000000000007E-2</c:v>
                </c:pt>
                <c:pt idx="42">
                  <c:v>0.09</c:v>
                </c:pt>
                <c:pt idx="43">
                  <c:v>0.1</c:v>
                </c:pt>
                <c:pt idx="44">
                  <c:v>0.12</c:v>
                </c:pt>
                <c:pt idx="45">
                  <c:v>0.13</c:v>
                </c:pt>
                <c:pt idx="46">
                  <c:v>0.14000000000000001</c:v>
                </c:pt>
                <c:pt idx="47">
                  <c:v>0.16</c:v>
                </c:pt>
                <c:pt idx="48">
                  <c:v>0.17</c:v>
                </c:pt>
                <c:pt idx="49">
                  <c:v>0.19</c:v>
                </c:pt>
                <c:pt idx="50">
                  <c:v>0.2</c:v>
                </c:pt>
                <c:pt idx="51">
                  <c:v>0.22</c:v>
                </c:pt>
                <c:pt idx="52">
                  <c:v>0.23</c:v>
                </c:pt>
                <c:pt idx="53">
                  <c:v>0.24</c:v>
                </c:pt>
                <c:pt idx="54">
                  <c:v>0.25</c:v>
                </c:pt>
                <c:pt idx="55">
                  <c:v>0.26</c:v>
                </c:pt>
                <c:pt idx="56">
                  <c:v>0.27</c:v>
                </c:pt>
                <c:pt idx="57">
                  <c:v>0.28000000000000003</c:v>
                </c:pt>
                <c:pt idx="58">
                  <c:v>0.28999999999999998</c:v>
                </c:pt>
                <c:pt idx="59">
                  <c:v>0.3</c:v>
                </c:pt>
                <c:pt idx="60">
                  <c:v>0.31</c:v>
                </c:pt>
                <c:pt idx="61">
                  <c:v>0.32</c:v>
                </c:pt>
                <c:pt idx="62">
                  <c:v>0.33</c:v>
                </c:pt>
                <c:pt idx="63">
                  <c:v>0.34</c:v>
                </c:pt>
                <c:pt idx="64">
                  <c:v>0.35</c:v>
                </c:pt>
                <c:pt idx="65">
                  <c:v>0.36</c:v>
                </c:pt>
                <c:pt idx="66">
                  <c:v>0.36</c:v>
                </c:pt>
                <c:pt idx="67">
                  <c:v>0.37</c:v>
                </c:pt>
                <c:pt idx="68">
                  <c:v>0.37</c:v>
                </c:pt>
                <c:pt idx="69">
                  <c:v>0.37</c:v>
                </c:pt>
                <c:pt idx="70">
                  <c:v>0.38</c:v>
                </c:pt>
                <c:pt idx="71">
                  <c:v>0.39</c:v>
                </c:pt>
                <c:pt idx="72">
                  <c:v>0.39</c:v>
                </c:pt>
              </c:numCache>
            </c:numRef>
          </c:val>
          <c:smooth val="0"/>
          <c:extLst>
            <c:ext xmlns:c16="http://schemas.microsoft.com/office/drawing/2014/chart" uri="{C3380CC4-5D6E-409C-BE32-E72D297353CC}">
              <c16:uniqueId val="{00000001-B6C8-49ED-B3E6-12366D56BBE6}"/>
            </c:ext>
          </c:extLst>
        </c:ser>
        <c:ser>
          <c:idx val="2"/>
          <c:order val="2"/>
          <c:tx>
            <c:strRef>
              <c:f>'SF.3.C.'!$T$2</c:f>
              <c:strCache>
                <c:ptCount val="1"/>
                <c:pt idx="0">
                  <c:v>upper</c:v>
                </c:pt>
              </c:strCache>
            </c:strRef>
          </c:tx>
          <c:spPr>
            <a:ln w="76200" cap="rnd">
              <a:solidFill>
                <a:srgbClr val="002345"/>
              </a:solidFill>
              <a:prstDash val="sysDash"/>
              <a:round/>
            </a:ln>
            <a:effectLst/>
          </c:spPr>
          <c:marker>
            <c:symbol val="none"/>
          </c:marker>
          <c:cat>
            <c:numRef>
              <c:f>'SF.3.C.'!$Q$3:$Q$75</c:f>
              <c:numCache>
                <c:formatCode>General</c:formatCod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numCache>
            </c:numRef>
          </c:cat>
          <c:val>
            <c:numRef>
              <c:f>'SF.3.C.'!$T$3:$T$75</c:f>
              <c:numCache>
                <c:formatCode>0</c:formatCode>
                <c:ptCount val="73"/>
                <c:pt idx="0">
                  <c:v>0.17</c:v>
                </c:pt>
                <c:pt idx="1">
                  <c:v>0.03</c:v>
                </c:pt>
                <c:pt idx="2">
                  <c:v>0.14000000000000001</c:v>
                </c:pt>
                <c:pt idx="3">
                  <c:v>7.0000000000000007E-2</c:v>
                </c:pt>
                <c:pt idx="4">
                  <c:v>-0.21</c:v>
                </c:pt>
                <c:pt idx="5">
                  <c:v>-0.31</c:v>
                </c:pt>
                <c:pt idx="6">
                  <c:v>-0.11</c:v>
                </c:pt>
                <c:pt idx="7">
                  <c:v>-0.13</c:v>
                </c:pt>
                <c:pt idx="8">
                  <c:v>-0.13</c:v>
                </c:pt>
                <c:pt idx="9">
                  <c:v>7.0000000000000007E-2</c:v>
                </c:pt>
                <c:pt idx="10">
                  <c:v>0.11</c:v>
                </c:pt>
                <c:pt idx="11">
                  <c:v>0.16</c:v>
                </c:pt>
                <c:pt idx="12">
                  <c:v>0.21</c:v>
                </c:pt>
                <c:pt idx="13">
                  <c:v>0.21</c:v>
                </c:pt>
                <c:pt idx="14">
                  <c:v>0.23</c:v>
                </c:pt>
                <c:pt idx="15">
                  <c:v>0.31</c:v>
                </c:pt>
                <c:pt idx="16">
                  <c:v>0.3</c:v>
                </c:pt>
                <c:pt idx="17">
                  <c:v>0.35</c:v>
                </c:pt>
                <c:pt idx="18">
                  <c:v>0.45</c:v>
                </c:pt>
                <c:pt idx="19">
                  <c:v>0.45</c:v>
                </c:pt>
                <c:pt idx="20">
                  <c:v>0.45</c:v>
                </c:pt>
                <c:pt idx="21">
                  <c:v>0.48</c:v>
                </c:pt>
                <c:pt idx="22">
                  <c:v>0.53</c:v>
                </c:pt>
                <c:pt idx="23">
                  <c:v>0.56999999999999995</c:v>
                </c:pt>
                <c:pt idx="24">
                  <c:v>0.62</c:v>
                </c:pt>
                <c:pt idx="25">
                  <c:v>0.67</c:v>
                </c:pt>
                <c:pt idx="26">
                  <c:v>0.69</c:v>
                </c:pt>
                <c:pt idx="27">
                  <c:v>0.71</c:v>
                </c:pt>
                <c:pt idx="28">
                  <c:v>0.74</c:v>
                </c:pt>
                <c:pt idx="29">
                  <c:v>0.74</c:v>
                </c:pt>
                <c:pt idx="30">
                  <c:v>0.77</c:v>
                </c:pt>
                <c:pt idx="31">
                  <c:v>0.8</c:v>
                </c:pt>
                <c:pt idx="32">
                  <c:v>0.83</c:v>
                </c:pt>
                <c:pt idx="33">
                  <c:v>0.86</c:v>
                </c:pt>
                <c:pt idx="34">
                  <c:v>0.89</c:v>
                </c:pt>
                <c:pt idx="35">
                  <c:v>0.92</c:v>
                </c:pt>
                <c:pt idx="36">
                  <c:v>0.94</c:v>
                </c:pt>
                <c:pt idx="37">
                  <c:v>0.97</c:v>
                </c:pt>
                <c:pt idx="38">
                  <c:v>0.99</c:v>
                </c:pt>
                <c:pt idx="39">
                  <c:v>1.01</c:v>
                </c:pt>
                <c:pt idx="40">
                  <c:v>1.02</c:v>
                </c:pt>
                <c:pt idx="41">
                  <c:v>1.04</c:v>
                </c:pt>
                <c:pt idx="42">
                  <c:v>1.06</c:v>
                </c:pt>
                <c:pt idx="43">
                  <c:v>1.07</c:v>
                </c:pt>
                <c:pt idx="44">
                  <c:v>1.0900000000000001</c:v>
                </c:pt>
                <c:pt idx="45">
                  <c:v>1.1100000000000001</c:v>
                </c:pt>
                <c:pt idx="46">
                  <c:v>1.1299999999999999</c:v>
                </c:pt>
                <c:pt idx="47">
                  <c:v>1.1499999999999999</c:v>
                </c:pt>
                <c:pt idx="48">
                  <c:v>1.17</c:v>
                </c:pt>
                <c:pt idx="49">
                  <c:v>1.19</c:v>
                </c:pt>
                <c:pt idx="50">
                  <c:v>1.21</c:v>
                </c:pt>
                <c:pt idx="51">
                  <c:v>1.23</c:v>
                </c:pt>
                <c:pt idx="52">
                  <c:v>1.24</c:v>
                </c:pt>
                <c:pt idx="53">
                  <c:v>1.26</c:v>
                </c:pt>
                <c:pt idx="54">
                  <c:v>1.27</c:v>
                </c:pt>
                <c:pt idx="55">
                  <c:v>1.28</c:v>
                </c:pt>
                <c:pt idx="56">
                  <c:v>1.29</c:v>
                </c:pt>
                <c:pt idx="57">
                  <c:v>1.31</c:v>
                </c:pt>
                <c:pt idx="58">
                  <c:v>1.32</c:v>
                </c:pt>
                <c:pt idx="59">
                  <c:v>1.33</c:v>
                </c:pt>
                <c:pt idx="60">
                  <c:v>1.35</c:v>
                </c:pt>
                <c:pt idx="61">
                  <c:v>1.36</c:v>
                </c:pt>
                <c:pt idx="62">
                  <c:v>1.37</c:v>
                </c:pt>
                <c:pt idx="63">
                  <c:v>1.38</c:v>
                </c:pt>
                <c:pt idx="64">
                  <c:v>1.39</c:v>
                </c:pt>
                <c:pt idx="65">
                  <c:v>1.41</c:v>
                </c:pt>
                <c:pt idx="66">
                  <c:v>1.42</c:v>
                </c:pt>
                <c:pt idx="67">
                  <c:v>1.42</c:v>
                </c:pt>
                <c:pt idx="68">
                  <c:v>1.43</c:v>
                </c:pt>
                <c:pt idx="69">
                  <c:v>1.44</c:v>
                </c:pt>
                <c:pt idx="70">
                  <c:v>1.45</c:v>
                </c:pt>
                <c:pt idx="71">
                  <c:v>1.46</c:v>
                </c:pt>
                <c:pt idx="72">
                  <c:v>1.48</c:v>
                </c:pt>
              </c:numCache>
            </c:numRef>
          </c:val>
          <c:smooth val="0"/>
          <c:extLst>
            <c:ext xmlns:c16="http://schemas.microsoft.com/office/drawing/2014/chart" uri="{C3380CC4-5D6E-409C-BE32-E72D297353CC}">
              <c16:uniqueId val="{00000002-B6C8-49ED-B3E6-12366D56BBE6}"/>
            </c:ext>
          </c:extLst>
        </c:ser>
        <c:dLbls>
          <c:showLegendKey val="0"/>
          <c:showVal val="0"/>
          <c:showCatName val="0"/>
          <c:showSerName val="0"/>
          <c:showPercent val="0"/>
          <c:showBubbleSize val="0"/>
        </c:dLbls>
        <c:smooth val="0"/>
        <c:axId val="75581472"/>
        <c:axId val="5670432"/>
      </c:lineChart>
      <c:catAx>
        <c:axId val="75581472"/>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r>
                  <a:rPr lang="en-US"/>
                  <a:t>Months</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70432"/>
        <c:crosses val="autoZero"/>
        <c:auto val="1"/>
        <c:lblAlgn val="ctr"/>
        <c:lblOffset val="100"/>
        <c:tickLblSkip val="10"/>
        <c:tickMarkSkip val="5"/>
        <c:noMultiLvlLbl val="0"/>
      </c:catAx>
      <c:valAx>
        <c:axId val="5670432"/>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5581472"/>
        <c:crosses val="autoZero"/>
        <c:crossBetween val="between"/>
      </c:valAx>
      <c:spPr>
        <a:noFill/>
        <a:ln>
          <a:noFill/>
        </a:ln>
        <a:effectLst/>
      </c:spPr>
    </c:plotArea>
    <c:plotVisOnly val="1"/>
    <c:dispBlanksAs val="gap"/>
    <c:showDLblsOverMax val="0"/>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345"/>
            </a:solidFill>
            <a:ln w="76200">
              <a:noFill/>
            </a:ln>
            <a:effectLst/>
          </c:spPr>
          <c:invertIfNegative val="0"/>
          <c:cat>
            <c:strRef>
              <c:extLst>
                <c:ext xmlns:c15="http://schemas.microsoft.com/office/drawing/2012/chart" uri="{02D57815-91ED-43cb-92C2-25804820EDAC}">
                  <c15:fullRef>
                    <c15:sqref>'SF.3.D.'!$Q$3:$Q$6</c15:sqref>
                  </c15:fullRef>
                </c:ext>
              </c:extLst>
              <c:f>'SF.3.D.'!$Q$3:$Q$5</c:f>
              <c:strCache>
                <c:ptCount val="3"/>
                <c:pt idx="0">
                  <c:v>Invasion of Kuwait</c:v>
                </c:pt>
                <c:pt idx="1">
                  <c:v>Libya civil war</c:v>
                </c:pt>
                <c:pt idx="2">
                  <c:v>Invasion of Ukraine</c:v>
                </c:pt>
              </c:strCache>
            </c:strRef>
          </c:cat>
          <c:val>
            <c:numRef>
              <c:extLst>
                <c:ext xmlns:c15="http://schemas.microsoft.com/office/drawing/2012/chart" uri="{02D57815-91ED-43cb-92C2-25804820EDAC}">
                  <c15:fullRef>
                    <c15:sqref>'SF.3.D.'!$R$3:$R$6</c15:sqref>
                  </c15:fullRef>
                </c:ext>
              </c:extLst>
              <c:f>'SF.3.D.'!$R$3:$R$5</c:f>
              <c:numCache>
                <c:formatCode>General</c:formatCode>
                <c:ptCount val="3"/>
                <c:pt idx="0">
                  <c:v>12.9</c:v>
                </c:pt>
                <c:pt idx="1">
                  <c:v>10.3</c:v>
                </c:pt>
                <c:pt idx="2">
                  <c:v>15.3</c:v>
                </c:pt>
              </c:numCache>
            </c:numRef>
          </c:val>
          <c:extLst>
            <c:ext xmlns:c16="http://schemas.microsoft.com/office/drawing/2014/chart" uri="{C3380CC4-5D6E-409C-BE32-E72D297353CC}">
              <c16:uniqueId val="{00000000-03D3-4556-995D-02A647EF4448}"/>
            </c:ext>
          </c:extLst>
        </c:ser>
        <c:dLbls>
          <c:showLegendKey val="0"/>
          <c:showVal val="0"/>
          <c:showCatName val="0"/>
          <c:showSerName val="0"/>
          <c:showPercent val="0"/>
          <c:showBubbleSize val="0"/>
        </c:dLbls>
        <c:gapWidth val="219"/>
        <c:overlap val="-27"/>
        <c:axId val="1283988416"/>
        <c:axId val="1283992256"/>
      </c:barChart>
      <c:lineChart>
        <c:grouping val="standard"/>
        <c:varyColors val="0"/>
        <c:ser>
          <c:idx val="1"/>
          <c:order val="1"/>
          <c:tx>
            <c:strRef>
              <c:f>'SF.3.D.'!$S$2</c:f>
              <c:strCache>
                <c:ptCount val="1"/>
                <c:pt idx="0">
                  <c:v>Model estimate</c:v>
                </c:pt>
              </c:strCache>
            </c:strRef>
          </c:tx>
          <c:spPr>
            <a:ln w="76200" cap="rnd">
              <a:solidFill>
                <a:srgbClr val="EB1C2D"/>
              </a:solidFill>
              <a:round/>
            </a:ln>
            <a:effectLst/>
          </c:spPr>
          <c:marker>
            <c:symbol val="none"/>
          </c:marker>
          <c:cat>
            <c:strRef>
              <c:extLst>
                <c:ext xmlns:c15="http://schemas.microsoft.com/office/drawing/2012/chart" uri="{02D57815-91ED-43cb-92C2-25804820EDAC}">
                  <c15:fullRef>
                    <c15:sqref>'SF.3.D.'!$Q$3:$Q$6</c15:sqref>
                  </c15:fullRef>
                </c:ext>
              </c:extLst>
              <c:f>'SF.3.D.'!$Q$3:$Q$5</c:f>
              <c:strCache>
                <c:ptCount val="3"/>
                <c:pt idx="0">
                  <c:v>Invasion of Kuwait</c:v>
                </c:pt>
                <c:pt idx="1">
                  <c:v>Libya civil war</c:v>
                </c:pt>
                <c:pt idx="2">
                  <c:v>Invasion of Ukraine</c:v>
                </c:pt>
                <c:pt idx="3">
                  <c:v>Model estimate</c:v>
                </c:pt>
              </c:strCache>
            </c:strRef>
          </c:cat>
          <c:val>
            <c:numRef>
              <c:extLst>
                <c:ext xmlns:c15="http://schemas.microsoft.com/office/drawing/2012/chart" uri="{02D57815-91ED-43cb-92C2-25804820EDAC}">
                  <c15:fullRef>
                    <c15:sqref>'SF.3.D.'!$S$3:$S$5</c15:sqref>
                  </c15:fullRef>
                </c:ext>
              </c:extLst>
              <c:f>'SF.3.D.'!$S$3:$S$5</c:f>
              <c:numCache>
                <c:formatCode>General</c:formatCode>
                <c:ptCount val="3"/>
                <c:pt idx="0">
                  <c:v>11.5</c:v>
                </c:pt>
                <c:pt idx="1">
                  <c:v>11.5</c:v>
                </c:pt>
                <c:pt idx="2">
                  <c:v>11.5</c:v>
                </c:pt>
              </c:numCache>
            </c:numRef>
          </c:val>
          <c:smooth val="0"/>
          <c:extLst>
            <c:ext xmlns:c16="http://schemas.microsoft.com/office/drawing/2014/chart" uri="{C3380CC4-5D6E-409C-BE32-E72D297353CC}">
              <c16:uniqueId val="{00000001-03D3-4556-995D-02A647EF4448}"/>
            </c:ext>
          </c:extLst>
        </c:ser>
        <c:dLbls>
          <c:showLegendKey val="0"/>
          <c:showVal val="0"/>
          <c:showCatName val="0"/>
          <c:showSerName val="0"/>
          <c:showPercent val="0"/>
          <c:showBubbleSize val="0"/>
        </c:dLbls>
        <c:marker val="1"/>
        <c:smooth val="0"/>
        <c:axId val="1283988416"/>
        <c:axId val="1283992256"/>
      </c:lineChart>
      <c:catAx>
        <c:axId val="128398841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83992256"/>
        <c:crosses val="autoZero"/>
        <c:auto val="1"/>
        <c:lblAlgn val="ctr"/>
        <c:lblOffset val="100"/>
        <c:noMultiLvlLbl val="0"/>
      </c:catAx>
      <c:valAx>
        <c:axId val="128399225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83988416"/>
        <c:crosses val="autoZero"/>
        <c:crossBetween val="between"/>
      </c:valAx>
      <c:spPr>
        <a:noFill/>
        <a:ln>
          <a:noFill/>
        </a:ln>
        <a:effectLst/>
      </c:spPr>
    </c:plotArea>
    <c:legend>
      <c:legendPos val="t"/>
      <c:legendEntry>
        <c:idx val="0"/>
        <c:delete val="1"/>
      </c:legendEntry>
      <c:layout>
        <c:manualLayout>
          <c:xMode val="edge"/>
          <c:yMode val="edge"/>
          <c:x val="0.51436937279391803"/>
          <c:y val="0.11376146788990826"/>
          <c:w val="0.39898493371322719"/>
          <c:h val="7.4749329020102742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140380101329623E-2"/>
          <c:y val="0.12561683638547394"/>
          <c:w val="0.88866974537986432"/>
          <c:h val="0.53693688337309453"/>
        </c:manualLayout>
      </c:layout>
      <c:barChart>
        <c:barDir val="col"/>
        <c:grouping val="clustered"/>
        <c:varyColors val="0"/>
        <c:ser>
          <c:idx val="0"/>
          <c:order val="0"/>
          <c:spPr>
            <a:solidFill>
              <a:srgbClr val="002345"/>
            </a:solidFill>
            <a:ln w="76200">
              <a:noFill/>
            </a:ln>
            <a:effectLst/>
          </c:spPr>
          <c:invertIfNegative val="0"/>
          <c:errBars>
            <c:errBarType val="both"/>
            <c:errValType val="cust"/>
            <c:noEndCap val="0"/>
            <c:plus>
              <c:numRef>
                <c:f>'SF.4.A.'!$V$3:$V$9</c:f>
                <c:numCache>
                  <c:formatCode>General</c:formatCode>
                  <c:ptCount val="7"/>
                  <c:pt idx="0">
                    <c:v>2.1</c:v>
                  </c:pt>
                  <c:pt idx="1">
                    <c:v>1.4</c:v>
                  </c:pt>
                  <c:pt idx="2">
                    <c:v>2.2999999999999998</c:v>
                  </c:pt>
                  <c:pt idx="3">
                    <c:v>1.4</c:v>
                  </c:pt>
                  <c:pt idx="4">
                    <c:v>1.6</c:v>
                  </c:pt>
                  <c:pt idx="5">
                    <c:v>1.1000000000000001</c:v>
                  </c:pt>
                  <c:pt idx="6">
                    <c:v>1.7</c:v>
                  </c:pt>
                </c:numCache>
              </c:numRef>
            </c:plus>
            <c:minus>
              <c:numRef>
                <c:f>'SF.4.A.'!$V$3:$V$9</c:f>
                <c:numCache>
                  <c:formatCode>General</c:formatCode>
                  <c:ptCount val="7"/>
                  <c:pt idx="0">
                    <c:v>2.1</c:v>
                  </c:pt>
                  <c:pt idx="1">
                    <c:v>1.4</c:v>
                  </c:pt>
                  <c:pt idx="2">
                    <c:v>2.2999999999999998</c:v>
                  </c:pt>
                  <c:pt idx="3">
                    <c:v>1.4</c:v>
                  </c:pt>
                  <c:pt idx="4">
                    <c:v>1.6</c:v>
                  </c:pt>
                  <c:pt idx="5">
                    <c:v>1.1000000000000001</c:v>
                  </c:pt>
                  <c:pt idx="6">
                    <c:v>1.7</c:v>
                  </c:pt>
                </c:numCache>
              </c:numRef>
            </c:minus>
            <c:spPr>
              <a:noFill/>
              <a:ln w="50800" cap="sq" cmpd="sng" algn="ctr">
                <a:solidFill>
                  <a:schemeClr val="accent3"/>
                </a:solidFill>
                <a:round/>
              </a:ln>
              <a:effectLst/>
            </c:spPr>
          </c:errBars>
          <c:cat>
            <c:strRef>
              <c:f>'SF.4.A.'!$T$3:$T$9</c:f>
              <c:strCache>
                <c:ptCount val="7"/>
                <c:pt idx="0">
                  <c:v>Natural 
gas</c:v>
                </c:pt>
                <c:pt idx="1">
                  <c:v>Total 
index</c:v>
                </c:pt>
                <c:pt idx="2">
                  <c:v>Fertilizers</c:v>
                </c:pt>
                <c:pt idx="3">
                  <c:v>Food</c:v>
                </c:pt>
                <c:pt idx="4">
                  <c:v>Precious 
metals</c:v>
                </c:pt>
                <c:pt idx="5">
                  <c:v>Raw 
materials</c:v>
                </c:pt>
                <c:pt idx="6">
                  <c:v>Metals and minerals</c:v>
                </c:pt>
              </c:strCache>
            </c:strRef>
          </c:cat>
          <c:val>
            <c:numRef>
              <c:f>'SF.4.A.'!$U$3:$U$9</c:f>
              <c:numCache>
                <c:formatCode>General</c:formatCode>
                <c:ptCount val="7"/>
                <c:pt idx="0">
                  <c:v>7.1</c:v>
                </c:pt>
                <c:pt idx="1">
                  <c:v>6.5</c:v>
                </c:pt>
                <c:pt idx="2">
                  <c:v>5.4</c:v>
                </c:pt>
                <c:pt idx="3">
                  <c:v>2.1</c:v>
                </c:pt>
                <c:pt idx="4">
                  <c:v>1.8</c:v>
                </c:pt>
                <c:pt idx="5">
                  <c:v>1.8</c:v>
                </c:pt>
                <c:pt idx="6">
                  <c:v>1.5</c:v>
                </c:pt>
              </c:numCache>
            </c:numRef>
          </c:val>
          <c:extLst>
            <c:ext xmlns:c16="http://schemas.microsoft.com/office/drawing/2014/chart" uri="{C3380CC4-5D6E-409C-BE32-E72D297353CC}">
              <c16:uniqueId val="{00000000-6A36-4E4D-964C-5D91B0BD9B12}"/>
            </c:ext>
          </c:extLst>
        </c:ser>
        <c:dLbls>
          <c:showLegendKey val="0"/>
          <c:showVal val="0"/>
          <c:showCatName val="0"/>
          <c:showSerName val="0"/>
          <c:showPercent val="0"/>
          <c:showBubbleSize val="0"/>
        </c:dLbls>
        <c:gapWidth val="95"/>
        <c:overlap val="-83"/>
        <c:axId val="1358293679"/>
        <c:axId val="1358295391"/>
      </c:barChart>
      <c:catAx>
        <c:axId val="135829367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58295391"/>
        <c:crosses val="autoZero"/>
        <c:auto val="1"/>
        <c:lblAlgn val="ctr"/>
        <c:lblOffset val="100"/>
        <c:noMultiLvlLbl val="0"/>
      </c:catAx>
      <c:valAx>
        <c:axId val="1358295391"/>
        <c:scaling>
          <c:orientation val="minMax"/>
          <c:max val="14"/>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582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140380101329623E-2"/>
          <c:y val="0.12933420822397199"/>
          <c:w val="0.88866974537986432"/>
          <c:h val="0.4896205115882678"/>
        </c:manualLayout>
      </c:layout>
      <c:barChart>
        <c:barDir val="col"/>
        <c:grouping val="clustered"/>
        <c:varyColors val="0"/>
        <c:ser>
          <c:idx val="0"/>
          <c:order val="0"/>
          <c:spPr>
            <a:solidFill>
              <a:srgbClr val="002345"/>
            </a:solidFill>
            <a:ln w="76200">
              <a:noFill/>
            </a:ln>
            <a:effectLst/>
          </c:spPr>
          <c:invertIfNegative val="0"/>
          <c:errBars>
            <c:errBarType val="both"/>
            <c:errValType val="cust"/>
            <c:noEndCap val="0"/>
            <c:plus>
              <c:numRef>
                <c:f>'SF.4.B.'!$S$3:$S$8</c:f>
                <c:numCache>
                  <c:formatCode>General</c:formatCode>
                  <c:ptCount val="6"/>
                  <c:pt idx="0">
                    <c:v>3.3</c:v>
                  </c:pt>
                  <c:pt idx="1">
                    <c:v>2.9</c:v>
                  </c:pt>
                  <c:pt idx="2">
                    <c:v>1.6</c:v>
                  </c:pt>
                  <c:pt idx="3">
                    <c:v>1.9</c:v>
                  </c:pt>
                  <c:pt idx="4">
                    <c:v>1.1000000000000001</c:v>
                  </c:pt>
                  <c:pt idx="5">
                    <c:v>1.4</c:v>
                  </c:pt>
                </c:numCache>
              </c:numRef>
            </c:plus>
            <c:minus>
              <c:numRef>
                <c:f>'SF.4.B.'!$S$3:$S$8</c:f>
                <c:numCache>
                  <c:formatCode>General</c:formatCode>
                  <c:ptCount val="6"/>
                  <c:pt idx="0">
                    <c:v>3.3</c:v>
                  </c:pt>
                  <c:pt idx="1">
                    <c:v>2.9</c:v>
                  </c:pt>
                  <c:pt idx="2">
                    <c:v>1.6</c:v>
                  </c:pt>
                  <c:pt idx="3">
                    <c:v>1.9</c:v>
                  </c:pt>
                  <c:pt idx="4">
                    <c:v>1.1000000000000001</c:v>
                  </c:pt>
                  <c:pt idx="5">
                    <c:v>1.4</c:v>
                  </c:pt>
                </c:numCache>
              </c:numRef>
            </c:minus>
            <c:spPr>
              <a:noFill/>
              <a:ln w="50800" cap="sq" cmpd="sng" algn="ctr">
                <a:solidFill>
                  <a:schemeClr val="accent3"/>
                </a:solidFill>
                <a:round/>
              </a:ln>
              <a:effectLst/>
            </c:spPr>
          </c:errBars>
          <c:cat>
            <c:strRef>
              <c:f>'SF.4.B.'!$Q$3:$Q$8</c:f>
              <c:strCache>
                <c:ptCount val="6"/>
                <c:pt idx="0">
                  <c:v>Natural gas Europe</c:v>
                </c:pt>
                <c:pt idx="1">
                  <c:v>Urea</c:v>
                </c:pt>
                <c:pt idx="2">
                  <c:v>Grains</c:v>
                </c:pt>
                <c:pt idx="3">
                  <c:v>Silver</c:v>
                </c:pt>
                <c:pt idx="4">
                  <c:v>Timber</c:v>
                </c:pt>
                <c:pt idx="5">
                  <c:v>Aluminum</c:v>
                </c:pt>
              </c:strCache>
            </c:strRef>
          </c:cat>
          <c:val>
            <c:numRef>
              <c:f>'SF.4.B.'!$R$3:$R$8</c:f>
              <c:numCache>
                <c:formatCode>General</c:formatCode>
                <c:ptCount val="6"/>
                <c:pt idx="0">
                  <c:v>9.1</c:v>
                </c:pt>
                <c:pt idx="1">
                  <c:v>7</c:v>
                </c:pt>
                <c:pt idx="2">
                  <c:v>2.4</c:v>
                </c:pt>
                <c:pt idx="3">
                  <c:v>2.4</c:v>
                </c:pt>
                <c:pt idx="4">
                  <c:v>2</c:v>
                </c:pt>
                <c:pt idx="5">
                  <c:v>1.6</c:v>
                </c:pt>
              </c:numCache>
            </c:numRef>
          </c:val>
          <c:extLst>
            <c:ext xmlns:c16="http://schemas.microsoft.com/office/drawing/2014/chart" uri="{C3380CC4-5D6E-409C-BE32-E72D297353CC}">
              <c16:uniqueId val="{00000000-CD61-4A58-8FE1-9D2D3033AD36}"/>
            </c:ext>
          </c:extLst>
        </c:ser>
        <c:dLbls>
          <c:showLegendKey val="0"/>
          <c:showVal val="0"/>
          <c:showCatName val="0"/>
          <c:showSerName val="0"/>
          <c:showPercent val="0"/>
          <c:showBubbleSize val="0"/>
        </c:dLbls>
        <c:gapWidth val="95"/>
        <c:overlap val="-83"/>
        <c:axId val="1358293679"/>
        <c:axId val="1358295391"/>
      </c:barChart>
      <c:catAx>
        <c:axId val="135829367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58295391"/>
        <c:crosses val="autoZero"/>
        <c:auto val="1"/>
        <c:lblAlgn val="ctr"/>
        <c:lblOffset val="100"/>
        <c:noMultiLvlLbl val="0"/>
      </c:catAx>
      <c:valAx>
        <c:axId val="135829539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582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738118069718122E-2"/>
          <c:y val="0.14386880587295009"/>
          <c:w val="0.89447446684944831"/>
          <c:h val="0.66251850097685161"/>
        </c:manualLayout>
      </c:layout>
      <c:lineChart>
        <c:grouping val="standard"/>
        <c:varyColors val="0"/>
        <c:ser>
          <c:idx val="0"/>
          <c:order val="0"/>
          <c:tx>
            <c:strRef>
              <c:f>'SF.4.C.'!$R$2</c:f>
              <c:strCache>
                <c:ptCount val="1"/>
                <c:pt idx="0">
                  <c:v>Fertilizers</c:v>
                </c:pt>
              </c:strCache>
            </c:strRef>
          </c:tx>
          <c:spPr>
            <a:ln w="76200" cap="rnd">
              <a:solidFill>
                <a:srgbClr val="002345"/>
              </a:solidFill>
              <a:round/>
            </a:ln>
            <a:effectLst/>
          </c:spPr>
          <c:marker>
            <c:symbol val="none"/>
          </c:marker>
          <c:cat>
            <c:numRef>
              <c:f>'SF.4.C.'!$Q$3:$Q$27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'SF.4.C.'!$R$3:$R$27</c:f>
              <c:numCache>
                <c:formatCode>0.0</c:formatCode>
                <c:ptCount val="25"/>
                <c:pt idx="0">
                  <c:v>1.9</c:v>
                </c:pt>
                <c:pt idx="1">
                  <c:v>3</c:v>
                </c:pt>
                <c:pt idx="2">
                  <c:v>3.78</c:v>
                </c:pt>
                <c:pt idx="3">
                  <c:v>3.34</c:v>
                </c:pt>
                <c:pt idx="4">
                  <c:v>3.52</c:v>
                </c:pt>
                <c:pt idx="5">
                  <c:v>3.77</c:v>
                </c:pt>
                <c:pt idx="6">
                  <c:v>4.4400000000000004</c:v>
                </c:pt>
                <c:pt idx="7">
                  <c:v>4.43</c:v>
                </c:pt>
                <c:pt idx="8">
                  <c:v>4.2</c:v>
                </c:pt>
                <c:pt idx="9">
                  <c:v>4.9400000000000004</c:v>
                </c:pt>
                <c:pt idx="10">
                  <c:v>4.9400000000000004</c:v>
                </c:pt>
                <c:pt idx="11">
                  <c:v>5.41</c:v>
                </c:pt>
                <c:pt idx="12">
                  <c:v>4.88</c:v>
                </c:pt>
                <c:pt idx="13">
                  <c:v>4.57</c:v>
                </c:pt>
                <c:pt idx="14">
                  <c:v>3.36</c:v>
                </c:pt>
                <c:pt idx="15">
                  <c:v>3.1</c:v>
                </c:pt>
                <c:pt idx="16">
                  <c:v>2.37</c:v>
                </c:pt>
                <c:pt idx="17">
                  <c:v>2.42</c:v>
                </c:pt>
                <c:pt idx="18">
                  <c:v>2.76</c:v>
                </c:pt>
                <c:pt idx="19">
                  <c:v>2.41</c:v>
                </c:pt>
                <c:pt idx="20">
                  <c:v>1.41</c:v>
                </c:pt>
                <c:pt idx="21">
                  <c:v>1.31</c:v>
                </c:pt>
                <c:pt idx="22">
                  <c:v>2.4700000000000002</c:v>
                </c:pt>
                <c:pt idx="23">
                  <c:v>2.71</c:v>
                </c:pt>
                <c:pt idx="24">
                  <c:v>2.29</c:v>
                </c:pt>
              </c:numCache>
            </c:numRef>
          </c:val>
          <c:smooth val="0"/>
          <c:extLst>
            <c:ext xmlns:c16="http://schemas.microsoft.com/office/drawing/2014/chart" uri="{C3380CC4-5D6E-409C-BE32-E72D297353CC}">
              <c16:uniqueId val="{00000000-FFB6-44C5-BA18-A023EFCA3809}"/>
            </c:ext>
          </c:extLst>
        </c:ser>
        <c:ser>
          <c:idx val="1"/>
          <c:order val="1"/>
          <c:tx>
            <c:strRef>
              <c:f>'SF.4.C.'!$S$2</c:f>
              <c:strCache>
                <c:ptCount val="1"/>
                <c:pt idx="0">
                  <c:v>Lower</c:v>
                </c:pt>
              </c:strCache>
            </c:strRef>
          </c:tx>
          <c:spPr>
            <a:ln w="76200" cap="rnd">
              <a:solidFill>
                <a:schemeClr val="accent1"/>
              </a:solidFill>
              <a:prstDash val="sysDash"/>
              <a:round/>
            </a:ln>
            <a:effectLst/>
          </c:spPr>
          <c:marker>
            <c:symbol val="none"/>
          </c:marker>
          <c:cat>
            <c:numRef>
              <c:f>'SF.4.C.'!$Q$3:$Q$27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'SF.4.C.'!$S$3:$S$27</c:f>
              <c:numCache>
                <c:formatCode>0.0</c:formatCode>
                <c:ptCount val="25"/>
                <c:pt idx="0">
                  <c:v>-0.37</c:v>
                </c:pt>
                <c:pt idx="1">
                  <c:v>0.73</c:v>
                </c:pt>
                <c:pt idx="2">
                  <c:v>1.51</c:v>
                </c:pt>
                <c:pt idx="3">
                  <c:v>1.07</c:v>
                </c:pt>
                <c:pt idx="4">
                  <c:v>1.25</c:v>
                </c:pt>
                <c:pt idx="5">
                  <c:v>1.5</c:v>
                </c:pt>
                <c:pt idx="6">
                  <c:v>2.17</c:v>
                </c:pt>
                <c:pt idx="7">
                  <c:v>2.15</c:v>
                </c:pt>
                <c:pt idx="8">
                  <c:v>1.93</c:v>
                </c:pt>
                <c:pt idx="9">
                  <c:v>2.67</c:v>
                </c:pt>
                <c:pt idx="10">
                  <c:v>2.67</c:v>
                </c:pt>
                <c:pt idx="11">
                  <c:v>3.13</c:v>
                </c:pt>
                <c:pt idx="12">
                  <c:v>2.61</c:v>
                </c:pt>
                <c:pt idx="13">
                  <c:v>2.29</c:v>
                </c:pt>
                <c:pt idx="14">
                  <c:v>1.0900000000000001</c:v>
                </c:pt>
                <c:pt idx="15">
                  <c:v>0.83</c:v>
                </c:pt>
                <c:pt idx="16">
                  <c:v>0.1</c:v>
                </c:pt>
                <c:pt idx="17">
                  <c:v>0.15</c:v>
                </c:pt>
                <c:pt idx="18">
                  <c:v>0.49</c:v>
                </c:pt>
                <c:pt idx="19">
                  <c:v>0.14000000000000001</c:v>
                </c:pt>
                <c:pt idx="20">
                  <c:v>-0.86</c:v>
                </c:pt>
                <c:pt idx="21">
                  <c:v>-0.96</c:v>
                </c:pt>
                <c:pt idx="22">
                  <c:v>0.2</c:v>
                </c:pt>
                <c:pt idx="23">
                  <c:v>0.44</c:v>
                </c:pt>
                <c:pt idx="24">
                  <c:v>0.02</c:v>
                </c:pt>
              </c:numCache>
            </c:numRef>
          </c:val>
          <c:smooth val="0"/>
          <c:extLst>
            <c:ext xmlns:c16="http://schemas.microsoft.com/office/drawing/2014/chart" uri="{C3380CC4-5D6E-409C-BE32-E72D297353CC}">
              <c16:uniqueId val="{00000001-FFB6-44C5-BA18-A023EFCA3809}"/>
            </c:ext>
          </c:extLst>
        </c:ser>
        <c:ser>
          <c:idx val="2"/>
          <c:order val="2"/>
          <c:tx>
            <c:strRef>
              <c:f>'SF.4.C.'!$T$2</c:f>
              <c:strCache>
                <c:ptCount val="1"/>
                <c:pt idx="0">
                  <c:v>upper</c:v>
                </c:pt>
              </c:strCache>
            </c:strRef>
          </c:tx>
          <c:spPr>
            <a:ln w="76200" cap="rnd">
              <a:solidFill>
                <a:schemeClr val="accent1"/>
              </a:solidFill>
              <a:prstDash val="sysDash"/>
              <a:round/>
            </a:ln>
            <a:effectLst/>
          </c:spPr>
          <c:marker>
            <c:symbol val="none"/>
          </c:marker>
          <c:cat>
            <c:numRef>
              <c:f>'SF.4.C.'!$Q$3:$Q$27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'SF.4.C.'!$T$3:$T$27</c:f>
              <c:numCache>
                <c:formatCode>0.0</c:formatCode>
                <c:ptCount val="25"/>
                <c:pt idx="0">
                  <c:v>4.17</c:v>
                </c:pt>
                <c:pt idx="1">
                  <c:v>5.27</c:v>
                </c:pt>
                <c:pt idx="2">
                  <c:v>6.05</c:v>
                </c:pt>
                <c:pt idx="3">
                  <c:v>5.61</c:v>
                </c:pt>
                <c:pt idx="4">
                  <c:v>5.79</c:v>
                </c:pt>
                <c:pt idx="5">
                  <c:v>6.04</c:v>
                </c:pt>
                <c:pt idx="6">
                  <c:v>6.72</c:v>
                </c:pt>
                <c:pt idx="7">
                  <c:v>6.7</c:v>
                </c:pt>
                <c:pt idx="8">
                  <c:v>6.47</c:v>
                </c:pt>
                <c:pt idx="9">
                  <c:v>7.22</c:v>
                </c:pt>
                <c:pt idx="10">
                  <c:v>7.21</c:v>
                </c:pt>
                <c:pt idx="11">
                  <c:v>7.68</c:v>
                </c:pt>
                <c:pt idx="12">
                  <c:v>7.15</c:v>
                </c:pt>
                <c:pt idx="13">
                  <c:v>6.84</c:v>
                </c:pt>
                <c:pt idx="14">
                  <c:v>5.63</c:v>
                </c:pt>
                <c:pt idx="15">
                  <c:v>5.37</c:v>
                </c:pt>
                <c:pt idx="16">
                  <c:v>4.6399999999999997</c:v>
                </c:pt>
                <c:pt idx="17">
                  <c:v>4.6900000000000004</c:v>
                </c:pt>
                <c:pt idx="18">
                  <c:v>5.04</c:v>
                </c:pt>
                <c:pt idx="19">
                  <c:v>4.68</c:v>
                </c:pt>
                <c:pt idx="20">
                  <c:v>3.68</c:v>
                </c:pt>
                <c:pt idx="21">
                  <c:v>3.58</c:v>
                </c:pt>
                <c:pt idx="22">
                  <c:v>4.74</c:v>
                </c:pt>
                <c:pt idx="23">
                  <c:v>4.99</c:v>
                </c:pt>
                <c:pt idx="24">
                  <c:v>4.57</c:v>
                </c:pt>
              </c:numCache>
            </c:numRef>
          </c:val>
          <c:smooth val="0"/>
          <c:extLst>
            <c:ext xmlns:c16="http://schemas.microsoft.com/office/drawing/2014/chart" uri="{C3380CC4-5D6E-409C-BE32-E72D297353CC}">
              <c16:uniqueId val="{00000002-FFB6-44C5-BA18-A023EFCA3809}"/>
            </c:ext>
          </c:extLst>
        </c:ser>
        <c:dLbls>
          <c:showLegendKey val="0"/>
          <c:showVal val="0"/>
          <c:showCatName val="0"/>
          <c:showSerName val="0"/>
          <c:showPercent val="0"/>
          <c:showBubbleSize val="0"/>
        </c:dLbls>
        <c:smooth val="0"/>
        <c:axId val="75581472"/>
        <c:axId val="5670432"/>
      </c:lineChart>
      <c:catAx>
        <c:axId val="75581472"/>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r>
                  <a:rPr lang="en-US"/>
                  <a:t>Months</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70432"/>
        <c:crosses val="autoZero"/>
        <c:auto val="1"/>
        <c:lblAlgn val="ctr"/>
        <c:lblOffset val="100"/>
        <c:tickLblSkip val="4"/>
        <c:tickMarkSkip val="6"/>
        <c:noMultiLvlLbl val="0"/>
      </c:catAx>
      <c:valAx>
        <c:axId val="5670432"/>
        <c:scaling>
          <c:orientation val="minMax"/>
          <c:min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5581472"/>
        <c:crosses val="autoZero"/>
        <c:crossBetween val="between"/>
        <c:majorUnit val="3"/>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5535716697505435E-2"/>
          <c:y val="0.14385791249777991"/>
          <c:w val="0.88467686822166092"/>
          <c:h val="0.66252939435202174"/>
        </c:manualLayout>
      </c:layout>
      <c:lineChart>
        <c:grouping val="standard"/>
        <c:varyColors val="0"/>
        <c:ser>
          <c:idx val="0"/>
          <c:order val="0"/>
          <c:tx>
            <c:strRef>
              <c:f>'SF.4.D.'!$R$2</c:f>
              <c:strCache>
                <c:ptCount val="1"/>
                <c:pt idx="0">
                  <c:v>Natural gas</c:v>
                </c:pt>
              </c:strCache>
            </c:strRef>
          </c:tx>
          <c:spPr>
            <a:ln w="76200" cap="rnd">
              <a:solidFill>
                <a:srgbClr val="002345"/>
              </a:solidFill>
              <a:round/>
            </a:ln>
            <a:effectLst/>
          </c:spPr>
          <c:marker>
            <c:symbol val="none"/>
          </c:marker>
          <c:cat>
            <c:numRef>
              <c:f>'SF.4.D.'!$Q$3:$Q$27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'SF.4.D.'!$R$3:$R$27</c:f>
              <c:numCache>
                <c:formatCode>0.0</c:formatCode>
                <c:ptCount val="25"/>
                <c:pt idx="0">
                  <c:v>1.41</c:v>
                </c:pt>
                <c:pt idx="1">
                  <c:v>1.89</c:v>
                </c:pt>
                <c:pt idx="2">
                  <c:v>3.03</c:v>
                </c:pt>
                <c:pt idx="3">
                  <c:v>3.75</c:v>
                </c:pt>
                <c:pt idx="4">
                  <c:v>4.17</c:v>
                </c:pt>
                <c:pt idx="5">
                  <c:v>3.97</c:v>
                </c:pt>
                <c:pt idx="6">
                  <c:v>4.59</c:v>
                </c:pt>
                <c:pt idx="7">
                  <c:v>5.83</c:v>
                </c:pt>
                <c:pt idx="8">
                  <c:v>5.97</c:v>
                </c:pt>
                <c:pt idx="9">
                  <c:v>6.9</c:v>
                </c:pt>
                <c:pt idx="10">
                  <c:v>5.83</c:v>
                </c:pt>
                <c:pt idx="11">
                  <c:v>6.59</c:v>
                </c:pt>
                <c:pt idx="12">
                  <c:v>6.38</c:v>
                </c:pt>
                <c:pt idx="13">
                  <c:v>7.09</c:v>
                </c:pt>
                <c:pt idx="14">
                  <c:v>6.06</c:v>
                </c:pt>
                <c:pt idx="15">
                  <c:v>4.99</c:v>
                </c:pt>
                <c:pt idx="16">
                  <c:v>4.21</c:v>
                </c:pt>
                <c:pt idx="17">
                  <c:v>4.25</c:v>
                </c:pt>
                <c:pt idx="18">
                  <c:v>2.83</c:v>
                </c:pt>
                <c:pt idx="19">
                  <c:v>3.18</c:v>
                </c:pt>
                <c:pt idx="20">
                  <c:v>3.09</c:v>
                </c:pt>
                <c:pt idx="21">
                  <c:v>3</c:v>
                </c:pt>
                <c:pt idx="22">
                  <c:v>3.4</c:v>
                </c:pt>
                <c:pt idx="23">
                  <c:v>2.67</c:v>
                </c:pt>
                <c:pt idx="24">
                  <c:v>1.86</c:v>
                </c:pt>
              </c:numCache>
            </c:numRef>
          </c:val>
          <c:smooth val="0"/>
          <c:extLst>
            <c:ext xmlns:c16="http://schemas.microsoft.com/office/drawing/2014/chart" uri="{C3380CC4-5D6E-409C-BE32-E72D297353CC}">
              <c16:uniqueId val="{00000000-0F2A-420C-878D-CF04817CC209}"/>
            </c:ext>
          </c:extLst>
        </c:ser>
        <c:ser>
          <c:idx val="1"/>
          <c:order val="1"/>
          <c:tx>
            <c:strRef>
              <c:f>'SF.4.D.'!$S$2</c:f>
              <c:strCache>
                <c:ptCount val="1"/>
                <c:pt idx="0">
                  <c:v>Lower</c:v>
                </c:pt>
              </c:strCache>
            </c:strRef>
          </c:tx>
          <c:spPr>
            <a:ln w="76200" cap="rnd">
              <a:solidFill>
                <a:srgbClr val="002345"/>
              </a:solidFill>
              <a:prstDash val="sysDash"/>
              <a:round/>
            </a:ln>
            <a:effectLst/>
          </c:spPr>
          <c:marker>
            <c:symbol val="none"/>
          </c:marker>
          <c:cat>
            <c:numRef>
              <c:f>'SF.4.D.'!$Q$3:$Q$27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'SF.4.D.'!$S$3:$S$27</c:f>
              <c:numCache>
                <c:formatCode>0.0</c:formatCode>
                <c:ptCount val="25"/>
                <c:pt idx="0">
                  <c:v>-1.34</c:v>
                </c:pt>
                <c:pt idx="1">
                  <c:v>-0.86</c:v>
                </c:pt>
                <c:pt idx="2">
                  <c:v>0.28000000000000003</c:v>
                </c:pt>
                <c:pt idx="3">
                  <c:v>1</c:v>
                </c:pt>
                <c:pt idx="4">
                  <c:v>1.43</c:v>
                </c:pt>
                <c:pt idx="5">
                  <c:v>1.22</c:v>
                </c:pt>
                <c:pt idx="6">
                  <c:v>1.84</c:v>
                </c:pt>
                <c:pt idx="7">
                  <c:v>3.09</c:v>
                </c:pt>
                <c:pt idx="8">
                  <c:v>3.22</c:v>
                </c:pt>
                <c:pt idx="9">
                  <c:v>4.1500000000000004</c:v>
                </c:pt>
                <c:pt idx="10">
                  <c:v>3.09</c:v>
                </c:pt>
                <c:pt idx="11">
                  <c:v>3.84</c:v>
                </c:pt>
                <c:pt idx="12">
                  <c:v>3.63</c:v>
                </c:pt>
                <c:pt idx="13">
                  <c:v>4.34</c:v>
                </c:pt>
                <c:pt idx="14">
                  <c:v>3.31</c:v>
                </c:pt>
                <c:pt idx="15">
                  <c:v>2.2400000000000002</c:v>
                </c:pt>
                <c:pt idx="16">
                  <c:v>1.46</c:v>
                </c:pt>
                <c:pt idx="17">
                  <c:v>1.5</c:v>
                </c:pt>
                <c:pt idx="18">
                  <c:v>0.08</c:v>
                </c:pt>
                <c:pt idx="19">
                  <c:v>0.44</c:v>
                </c:pt>
                <c:pt idx="20">
                  <c:v>0.34</c:v>
                </c:pt>
                <c:pt idx="21">
                  <c:v>0.25</c:v>
                </c:pt>
                <c:pt idx="22">
                  <c:v>0.65</c:v>
                </c:pt>
                <c:pt idx="23">
                  <c:v>-0.08</c:v>
                </c:pt>
                <c:pt idx="24">
                  <c:v>-0.89</c:v>
                </c:pt>
              </c:numCache>
            </c:numRef>
          </c:val>
          <c:smooth val="0"/>
          <c:extLst>
            <c:ext xmlns:c16="http://schemas.microsoft.com/office/drawing/2014/chart" uri="{C3380CC4-5D6E-409C-BE32-E72D297353CC}">
              <c16:uniqueId val="{00000001-0F2A-420C-878D-CF04817CC209}"/>
            </c:ext>
          </c:extLst>
        </c:ser>
        <c:ser>
          <c:idx val="2"/>
          <c:order val="2"/>
          <c:tx>
            <c:strRef>
              <c:f>'SF.4.D.'!$T$2</c:f>
              <c:strCache>
                <c:ptCount val="1"/>
                <c:pt idx="0">
                  <c:v>upper</c:v>
                </c:pt>
              </c:strCache>
            </c:strRef>
          </c:tx>
          <c:spPr>
            <a:ln w="76200" cap="rnd">
              <a:solidFill>
                <a:srgbClr val="002345"/>
              </a:solidFill>
              <a:prstDash val="sysDash"/>
              <a:round/>
            </a:ln>
            <a:effectLst/>
          </c:spPr>
          <c:marker>
            <c:symbol val="none"/>
          </c:marker>
          <c:cat>
            <c:numRef>
              <c:f>'SF.4.D.'!$Q$3:$Q$27</c:f>
              <c:numCache>
                <c:formatCode>General</c:formatCod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numCache>
            </c:numRef>
          </c:cat>
          <c:val>
            <c:numRef>
              <c:f>'SF.4.D.'!$T$3:$T$27</c:f>
              <c:numCache>
                <c:formatCode>0.0</c:formatCode>
                <c:ptCount val="25"/>
                <c:pt idx="0">
                  <c:v>4.16</c:v>
                </c:pt>
                <c:pt idx="1">
                  <c:v>4.6399999999999997</c:v>
                </c:pt>
                <c:pt idx="2">
                  <c:v>5.77</c:v>
                </c:pt>
                <c:pt idx="3">
                  <c:v>6.5</c:v>
                </c:pt>
                <c:pt idx="4">
                  <c:v>6.92</c:v>
                </c:pt>
                <c:pt idx="5">
                  <c:v>6.72</c:v>
                </c:pt>
                <c:pt idx="6">
                  <c:v>7.34</c:v>
                </c:pt>
                <c:pt idx="7">
                  <c:v>8.58</c:v>
                </c:pt>
                <c:pt idx="8">
                  <c:v>8.7200000000000006</c:v>
                </c:pt>
                <c:pt idx="9">
                  <c:v>9.65</c:v>
                </c:pt>
                <c:pt idx="10">
                  <c:v>8.58</c:v>
                </c:pt>
                <c:pt idx="11">
                  <c:v>9.34</c:v>
                </c:pt>
                <c:pt idx="12">
                  <c:v>9.1199999999999992</c:v>
                </c:pt>
                <c:pt idx="13">
                  <c:v>9.84</c:v>
                </c:pt>
                <c:pt idx="14">
                  <c:v>8.81</c:v>
                </c:pt>
                <c:pt idx="15">
                  <c:v>7.73</c:v>
                </c:pt>
                <c:pt idx="16">
                  <c:v>6.96</c:v>
                </c:pt>
                <c:pt idx="17">
                  <c:v>7</c:v>
                </c:pt>
                <c:pt idx="18">
                  <c:v>5.58</c:v>
                </c:pt>
                <c:pt idx="19">
                  <c:v>5.93</c:v>
                </c:pt>
                <c:pt idx="20">
                  <c:v>5.84</c:v>
                </c:pt>
                <c:pt idx="21">
                  <c:v>5.74</c:v>
                </c:pt>
                <c:pt idx="22">
                  <c:v>6.15</c:v>
                </c:pt>
                <c:pt idx="23">
                  <c:v>5.42</c:v>
                </c:pt>
                <c:pt idx="24">
                  <c:v>4.5999999999999996</c:v>
                </c:pt>
              </c:numCache>
            </c:numRef>
          </c:val>
          <c:smooth val="0"/>
          <c:extLst>
            <c:ext xmlns:c16="http://schemas.microsoft.com/office/drawing/2014/chart" uri="{C3380CC4-5D6E-409C-BE32-E72D297353CC}">
              <c16:uniqueId val="{00000002-0F2A-420C-878D-CF04817CC209}"/>
            </c:ext>
          </c:extLst>
        </c:ser>
        <c:dLbls>
          <c:showLegendKey val="0"/>
          <c:showVal val="0"/>
          <c:showCatName val="0"/>
          <c:showSerName val="0"/>
          <c:showPercent val="0"/>
          <c:showBubbleSize val="0"/>
        </c:dLbls>
        <c:smooth val="0"/>
        <c:axId val="75581472"/>
        <c:axId val="5670432"/>
      </c:lineChart>
      <c:catAx>
        <c:axId val="75581472"/>
        <c:scaling>
          <c:orientation val="minMax"/>
        </c:scaling>
        <c:delete val="0"/>
        <c:axPos val="b"/>
        <c:title>
          <c:tx>
            <c:rich>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r>
                  <a:rPr lang="en-US"/>
                  <a:t>Months</a:t>
                </a:r>
              </a:p>
            </c:rich>
          </c:tx>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670432"/>
        <c:crosses val="autoZero"/>
        <c:auto val="1"/>
        <c:lblAlgn val="ctr"/>
        <c:lblOffset val="100"/>
        <c:tickLblSkip val="4"/>
        <c:tickMarkSkip val="10"/>
        <c:noMultiLvlLbl val="0"/>
      </c:catAx>
      <c:valAx>
        <c:axId val="5670432"/>
        <c:scaling>
          <c:orientation val="minMax"/>
          <c:max val="12"/>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5581472"/>
        <c:crosses val="autoZero"/>
        <c:crossBetween val="between"/>
        <c:majorUnit val="2"/>
      </c:valAx>
      <c:spPr>
        <a:noFill/>
        <a:ln>
          <a:noFill/>
        </a:ln>
        <a:effectLst/>
      </c:spPr>
    </c:plotArea>
    <c:plotVisOnly val="1"/>
    <c:dispBlanksAs val="gap"/>
    <c:showDLblsOverMax val="0"/>
    <c:extLst/>
  </c:chart>
  <c:spPr>
    <a:solidFill>
      <a:schemeClr val="bg1"/>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326570</xdr:rowOff>
    </xdr:from>
    <xdr:to>
      <xdr:col>14</xdr:col>
      <xdr:colOff>127000</xdr:colOff>
      <xdr:row>30</xdr:row>
      <xdr:rowOff>18141</xdr:rowOff>
    </xdr:to>
    <xdr:graphicFrame macro="">
      <xdr:nvGraphicFramePr>
        <xdr:cNvPr id="2" name="Chart 1">
          <a:extLst>
            <a:ext uri="{FF2B5EF4-FFF2-40B4-BE49-F238E27FC236}">
              <a16:creationId xmlns:a16="http://schemas.microsoft.com/office/drawing/2014/main" id="{7F2C43F0-2189-447E-9D4B-7E4FC6069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2772D7EB-9E43-F556-E9F6-16BECCF0C977}"/>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571500</xdr:colOff>
      <xdr:row>30</xdr:row>
      <xdr:rowOff>149679</xdr:rowOff>
    </xdr:to>
    <xdr:graphicFrame macro="">
      <xdr:nvGraphicFramePr>
        <xdr:cNvPr id="2" name="Chart 1">
          <a:extLst>
            <a:ext uri="{FF2B5EF4-FFF2-40B4-BE49-F238E27FC236}">
              <a16:creationId xmlns:a16="http://schemas.microsoft.com/office/drawing/2014/main" id="{949CFF54-79D7-4C9D-A24A-3489A4E42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75D517CE-2550-016A-5632-F0F2035572CA}"/>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317499</xdr:rowOff>
    </xdr:from>
    <xdr:to>
      <xdr:col>15</xdr:col>
      <xdr:colOff>27214</xdr:colOff>
      <xdr:row>31</xdr:row>
      <xdr:rowOff>54428</xdr:rowOff>
    </xdr:to>
    <xdr:graphicFrame macro="">
      <xdr:nvGraphicFramePr>
        <xdr:cNvPr id="2" name="Chart 1">
          <a:extLst>
            <a:ext uri="{FF2B5EF4-FFF2-40B4-BE49-F238E27FC236}">
              <a16:creationId xmlns:a16="http://schemas.microsoft.com/office/drawing/2014/main" id="{C70E011E-0D86-4198-944C-A17106A45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C99195F1-3F89-146B-E9B7-242796B0D87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Units</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317499</xdr:rowOff>
    </xdr:from>
    <xdr:to>
      <xdr:col>15</xdr:col>
      <xdr:colOff>27214</xdr:colOff>
      <xdr:row>31</xdr:row>
      <xdr:rowOff>54428</xdr:rowOff>
    </xdr:to>
    <xdr:graphicFrame macro="">
      <xdr:nvGraphicFramePr>
        <xdr:cNvPr id="2" name="Chart 1">
          <a:extLst>
            <a:ext uri="{FF2B5EF4-FFF2-40B4-BE49-F238E27FC236}">
              <a16:creationId xmlns:a16="http://schemas.microsoft.com/office/drawing/2014/main" id="{822C8AB3-D032-4467-A6AE-90FAC7BA1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5A1B42F2-877B-93EE-F5A2-224583D781A2}"/>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Days</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5444</xdr:rowOff>
    </xdr:from>
    <xdr:to>
      <xdr:col>14</xdr:col>
      <xdr:colOff>571500</xdr:colOff>
      <xdr:row>29</xdr:row>
      <xdr:rowOff>100694</xdr:rowOff>
    </xdr:to>
    <xdr:graphicFrame macro="">
      <xdr:nvGraphicFramePr>
        <xdr:cNvPr id="2" name="Chart 1">
          <a:extLst>
            <a:ext uri="{FF2B5EF4-FFF2-40B4-BE49-F238E27FC236}">
              <a16:creationId xmlns:a16="http://schemas.microsoft.com/office/drawing/2014/main" id="{0DAD2054-5196-4E5F-AAE8-C052AE6E1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2F01442F-6342-720C-647A-244C7AC0A23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1</xdr:row>
      <xdr:rowOff>4732</xdr:rowOff>
    </xdr:from>
    <xdr:to>
      <xdr:col>14</xdr:col>
      <xdr:colOff>127000</xdr:colOff>
      <xdr:row>30</xdr:row>
      <xdr:rowOff>22874</xdr:rowOff>
    </xdr:to>
    <xdr:graphicFrame macro="">
      <xdr:nvGraphicFramePr>
        <xdr:cNvPr id="2" name="Chart 1">
          <a:extLst>
            <a:ext uri="{FF2B5EF4-FFF2-40B4-BE49-F238E27FC236}">
              <a16:creationId xmlns:a16="http://schemas.microsoft.com/office/drawing/2014/main" id="{973AC7C8-984B-4AAB-B945-6D53CB589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A814E2BA-CB09-6E3E-6FE5-52ABD5A2748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1</xdr:row>
      <xdr:rowOff>-1</xdr:rowOff>
    </xdr:from>
    <xdr:to>
      <xdr:col>14</xdr:col>
      <xdr:colOff>571500</xdr:colOff>
      <xdr:row>30</xdr:row>
      <xdr:rowOff>149678</xdr:rowOff>
    </xdr:to>
    <xdr:graphicFrame macro="">
      <xdr:nvGraphicFramePr>
        <xdr:cNvPr id="2" name="Chart 1">
          <a:extLst>
            <a:ext uri="{FF2B5EF4-FFF2-40B4-BE49-F238E27FC236}">
              <a16:creationId xmlns:a16="http://schemas.microsoft.com/office/drawing/2014/main" id="{88A3E486-2B53-4E72-A8DB-B3C1F0B09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52A93DCB-F12B-FA1F-71EC-80EC05DF4861}"/>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40821</xdr:rowOff>
    </xdr:from>
    <xdr:to>
      <xdr:col>14</xdr:col>
      <xdr:colOff>571500</xdr:colOff>
      <xdr:row>30</xdr:row>
      <xdr:rowOff>190500</xdr:rowOff>
    </xdr:to>
    <xdr:graphicFrame macro="">
      <xdr:nvGraphicFramePr>
        <xdr:cNvPr id="2" name="Chart 1">
          <a:extLst>
            <a:ext uri="{FF2B5EF4-FFF2-40B4-BE49-F238E27FC236}">
              <a16:creationId xmlns:a16="http://schemas.microsoft.com/office/drawing/2014/main" id="{B95D814F-0C2E-46F5-8E00-9FC26E7A3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D58AEB38-3AFE-84EE-6511-6069D8DDE03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571500</xdr:colOff>
      <xdr:row>30</xdr:row>
      <xdr:rowOff>149679</xdr:rowOff>
    </xdr:to>
    <xdr:graphicFrame macro="">
      <xdr:nvGraphicFramePr>
        <xdr:cNvPr id="2" name="Chart 1">
          <a:extLst>
            <a:ext uri="{FF2B5EF4-FFF2-40B4-BE49-F238E27FC236}">
              <a16:creationId xmlns:a16="http://schemas.microsoft.com/office/drawing/2014/main" id="{09715E8C-8FF0-4FDE-A796-9379F62EE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7ED7FBF2-DCB7-7A7D-BFD5-0F0AC8E2407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0</xdr:row>
      <xdr:rowOff>326570</xdr:rowOff>
    </xdr:from>
    <xdr:to>
      <xdr:col>14</xdr:col>
      <xdr:colOff>127000</xdr:colOff>
      <xdr:row>30</xdr:row>
      <xdr:rowOff>18141</xdr:rowOff>
    </xdr:to>
    <xdr:graphicFrame macro="">
      <xdr:nvGraphicFramePr>
        <xdr:cNvPr id="2" name="Chart 1">
          <a:extLst>
            <a:ext uri="{FF2B5EF4-FFF2-40B4-BE49-F238E27FC236}">
              <a16:creationId xmlns:a16="http://schemas.microsoft.com/office/drawing/2014/main" id="{F2955D7B-CFBC-49A1-8A25-C0BE2ACDA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0.00552</cdr:x>
      <cdr:y>0.00734</cdr:y>
    </cdr:from>
    <cdr:to>
      <cdr:x>0.90048</cdr:x>
      <cdr:y>0.1158</cdr:y>
    </cdr:to>
    <cdr:sp macro="" textlink="">
      <cdr:nvSpPr>
        <cdr:cNvPr id="2" name="TextBox 1">
          <a:extLst xmlns:a="http://schemas.openxmlformats.org/drawingml/2006/main">
            <a:ext uri="{FF2B5EF4-FFF2-40B4-BE49-F238E27FC236}">
              <a16:creationId xmlns:a16="http://schemas.microsoft.com/office/drawing/2014/main" id="{B3B481CF-F2E7-88A0-023B-B7400A077CE5}"/>
            </a:ext>
          </a:extLst>
        </cdr:cNvPr>
        <cdr:cNvSpPr txBox="1"/>
      </cdr:nvSpPr>
      <cdr:spPr>
        <a:xfrm xmlns:a="http://schemas.openxmlformats.org/drawingml/2006/main">
          <a:off x="50808" y="51619"/>
          <a:ext cx="8237530" cy="76276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 increase, 1 percent production loss</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29</xdr:row>
      <xdr:rowOff>0</xdr:rowOff>
    </xdr:to>
    <xdr:graphicFrame macro="">
      <xdr:nvGraphicFramePr>
        <xdr:cNvPr id="2" name="Chart 1">
          <a:extLst>
            <a:ext uri="{FF2B5EF4-FFF2-40B4-BE49-F238E27FC236}">
              <a16:creationId xmlns:a16="http://schemas.microsoft.com/office/drawing/2014/main" id="{F9A805AB-34E3-4986-B50A-B0835B948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DF0C69F8-68B6-E8B0-F28A-8B277D95E16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0</xdr:row>
      <xdr:rowOff>317498</xdr:rowOff>
    </xdr:from>
    <xdr:to>
      <xdr:col>14</xdr:col>
      <xdr:colOff>127000</xdr:colOff>
      <xdr:row>31</xdr:row>
      <xdr:rowOff>54427</xdr:rowOff>
    </xdr:to>
    <xdr:graphicFrame macro="">
      <xdr:nvGraphicFramePr>
        <xdr:cNvPr id="2" name="Chart 1">
          <a:extLst>
            <a:ext uri="{FF2B5EF4-FFF2-40B4-BE49-F238E27FC236}">
              <a16:creationId xmlns:a16="http://schemas.microsoft.com/office/drawing/2014/main" id="{65F449D5-AB07-4660-9BDE-CC7089F30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44B17510-F0FE-7D79-B642-F1B7E97A7E72}"/>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1</xdr:row>
      <xdr:rowOff>196</xdr:rowOff>
    </xdr:from>
    <xdr:to>
      <xdr:col>14</xdr:col>
      <xdr:colOff>127000</xdr:colOff>
      <xdr:row>30</xdr:row>
      <xdr:rowOff>18339</xdr:rowOff>
    </xdr:to>
    <xdr:graphicFrame macro="">
      <xdr:nvGraphicFramePr>
        <xdr:cNvPr id="2" name="Chart 1">
          <a:extLst>
            <a:ext uri="{FF2B5EF4-FFF2-40B4-BE49-F238E27FC236}">
              <a16:creationId xmlns:a16="http://schemas.microsoft.com/office/drawing/2014/main" id="{BB7F7042-FFCD-41E8-8B27-D1BA60EC9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3B345569-A0DA-3219-A85E-FC8F08D718C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1</xdr:row>
      <xdr:rowOff>53717</xdr:rowOff>
    </xdr:from>
    <xdr:to>
      <xdr:col>14</xdr:col>
      <xdr:colOff>571500</xdr:colOff>
      <xdr:row>30</xdr:row>
      <xdr:rowOff>203396</xdr:rowOff>
    </xdr:to>
    <xdr:graphicFrame macro="">
      <xdr:nvGraphicFramePr>
        <xdr:cNvPr id="2" name="Chart 1">
          <a:extLst>
            <a:ext uri="{FF2B5EF4-FFF2-40B4-BE49-F238E27FC236}">
              <a16:creationId xmlns:a16="http://schemas.microsoft.com/office/drawing/2014/main" id="{5A103F02-F397-45A7-A153-534137B3A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9E5AF976-9F6B-F811-A39A-A265D9BD670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theme/theme1.xml><?xml version="1.0" encoding="utf-8"?>
<a:theme xmlns:a="http://schemas.openxmlformats.org/drawingml/2006/main" name="Office Theme">
  <a:themeElements>
    <a:clrScheme name="Custom 20">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L449"/>
  <sheetViews>
    <sheetView tabSelected="1" zoomScale="70" zoomScaleNormal="70" workbookViewId="0"/>
  </sheetViews>
  <sheetFormatPr defaultRowHeight="14.25"/>
  <cols>
    <col min="1" max="1" width="117.73046875" customWidth="1"/>
  </cols>
  <sheetData>
    <row r="1" spans="1:12" ht="17.649999999999999">
      <c r="A1" s="8" t="s">
        <v>45</v>
      </c>
      <c r="B1" s="7"/>
      <c r="C1" s="7"/>
      <c r="D1" s="7"/>
      <c r="E1" s="7"/>
      <c r="F1" s="7"/>
      <c r="G1" s="7"/>
      <c r="H1" s="7"/>
      <c r="I1" s="7"/>
      <c r="J1" s="7"/>
      <c r="K1" s="7"/>
      <c r="L1" s="7"/>
    </row>
    <row r="2" spans="1:12" ht="17.25">
      <c r="A2" s="9" t="str">
        <f>'SF.1.A.'!A1</f>
        <v>Figure SF.1.A. Oil prices</v>
      </c>
      <c r="B2" s="7"/>
      <c r="C2" s="7"/>
      <c r="D2" s="7"/>
      <c r="E2" s="7"/>
      <c r="F2" s="7"/>
      <c r="G2" s="7"/>
      <c r="H2" s="7"/>
      <c r="I2" s="7"/>
      <c r="J2" s="7"/>
      <c r="K2" s="7"/>
      <c r="L2" s="7"/>
    </row>
    <row r="3" spans="1:12" ht="17.25">
      <c r="A3" s="9" t="str">
        <f>'SF.1.B.'!A1</f>
        <v>Figure SF.1.B. Quarterly changes in oil prices</v>
      </c>
      <c r="B3" s="7"/>
      <c r="C3" s="7"/>
      <c r="D3" s="7"/>
      <c r="E3" s="7"/>
      <c r="F3" s="7"/>
      <c r="G3" s="7"/>
      <c r="H3" s="7"/>
      <c r="I3" s="7"/>
      <c r="J3" s="7"/>
      <c r="K3" s="7"/>
      <c r="L3" s="7"/>
    </row>
    <row r="4" spans="1:12" ht="17.25">
      <c r="A4" s="9" t="str">
        <f>'SF.1.C.'!A1</f>
        <v>Figure SF.1.C. Geopolitical risk index</v>
      </c>
      <c r="B4" s="7"/>
      <c r="C4" s="7"/>
      <c r="D4" s="7"/>
      <c r="E4" s="7"/>
      <c r="F4" s="7"/>
      <c r="G4" s="7"/>
      <c r="H4" s="7"/>
      <c r="I4" s="7"/>
      <c r="J4" s="7"/>
      <c r="K4" s="7"/>
      <c r="L4" s="7"/>
    </row>
    <row r="5" spans="1:12" ht="17.25">
      <c r="A5" s="9" t="str">
        <f>'SF.1.D.'!A1</f>
        <v>Figure SF.1.D. Number of sharply rising geopolitical risk days per year</v>
      </c>
      <c r="B5" s="7"/>
      <c r="C5" s="7"/>
      <c r="D5" s="7"/>
      <c r="E5" s="7"/>
      <c r="F5" s="7"/>
      <c r="G5" s="7"/>
      <c r="H5" s="7"/>
      <c r="I5" s="7"/>
      <c r="J5" s="7"/>
      <c r="K5" s="7"/>
      <c r="L5" s="7"/>
    </row>
    <row r="6" spans="1:12" ht="17.25">
      <c r="A6" s="7"/>
      <c r="B6" s="7"/>
      <c r="C6" s="7"/>
      <c r="D6" s="7"/>
      <c r="E6" s="7"/>
      <c r="F6" s="7"/>
      <c r="G6" s="7"/>
      <c r="H6" s="7"/>
      <c r="I6" s="7"/>
      <c r="J6" s="7"/>
      <c r="K6" s="7"/>
      <c r="L6" s="7"/>
    </row>
    <row r="7" spans="1:12" ht="17.649999999999999">
      <c r="A7" s="8" t="s">
        <v>57</v>
      </c>
      <c r="B7" s="7"/>
      <c r="C7" s="7"/>
      <c r="D7" s="7"/>
      <c r="E7" s="7"/>
      <c r="F7" s="7"/>
      <c r="G7" s="7"/>
      <c r="H7" s="7"/>
      <c r="I7" s="7"/>
      <c r="J7" s="7"/>
      <c r="K7" s="7"/>
      <c r="L7" s="7"/>
    </row>
    <row r="8" spans="1:12" ht="17.25">
      <c r="A8" s="9" t="str">
        <f>'SF.2.A.'!A1</f>
        <v>Figure SF.2.A. Oil price volatility</v>
      </c>
      <c r="B8" s="7"/>
      <c r="C8" s="7"/>
      <c r="D8" s="7"/>
      <c r="E8" s="7"/>
      <c r="F8" s="7"/>
      <c r="G8" s="7"/>
      <c r="H8" s="7"/>
      <c r="I8" s="7"/>
      <c r="J8" s="7"/>
      <c r="K8" s="7"/>
      <c r="L8" s="7"/>
    </row>
    <row r="9" spans="1:12" ht="17.25">
      <c r="A9" s="9" t="str">
        <f>'SF.2.B.'!A1</f>
        <v>Figure SF.2.B. Oil price changes in the days surrounding major geopolitical risk events</v>
      </c>
      <c r="B9" s="7"/>
      <c r="C9" s="7"/>
      <c r="D9" s="7"/>
      <c r="E9" s="7"/>
      <c r="F9" s="7"/>
      <c r="G9" s="7"/>
      <c r="H9" s="7"/>
      <c r="I9" s="7"/>
      <c r="J9" s="7"/>
      <c r="K9" s="7"/>
      <c r="L9" s="7"/>
    </row>
    <row r="10" spans="1:12" ht="17.25">
      <c r="A10" s="7"/>
      <c r="B10" s="7"/>
      <c r="C10" s="7"/>
      <c r="D10" s="7"/>
      <c r="E10" s="7"/>
      <c r="F10" s="7"/>
      <c r="G10" s="7"/>
      <c r="H10" s="7"/>
      <c r="I10" s="7"/>
      <c r="J10" s="7"/>
      <c r="K10" s="7"/>
      <c r="L10" s="7"/>
    </row>
    <row r="11" spans="1:12" ht="17.649999999999999">
      <c r="A11" s="8" t="s">
        <v>58</v>
      </c>
      <c r="B11" s="7"/>
      <c r="C11" s="7"/>
      <c r="D11" s="7"/>
      <c r="E11" s="7"/>
      <c r="F11" s="7"/>
      <c r="G11" s="7"/>
      <c r="H11" s="7"/>
      <c r="I11" s="7"/>
      <c r="J11" s="7"/>
      <c r="K11" s="7"/>
      <c r="L11" s="7"/>
    </row>
    <row r="12" spans="1:12" ht="17.25">
      <c r="A12" s="9" t="str">
        <f>'SF.3.A.'!A1</f>
        <v>Figure SF.3.A. Response of oil prices</v>
      </c>
      <c r="B12" s="7"/>
      <c r="C12" s="7"/>
      <c r="D12" s="7"/>
      <c r="E12" s="7"/>
      <c r="F12" s="7"/>
      <c r="G12" s="7"/>
      <c r="H12" s="7"/>
      <c r="I12" s="7"/>
      <c r="J12" s="7"/>
      <c r="K12" s="7"/>
      <c r="L12" s="7"/>
    </row>
    <row r="13" spans="1:12" ht="17.25">
      <c r="A13" s="9" t="str">
        <f>'SF.3.B.'!A1</f>
        <v>Figure SF.3.B. Response of oil production</v>
      </c>
      <c r="B13" s="7"/>
      <c r="C13" s="7"/>
      <c r="D13" s="7"/>
      <c r="E13" s="7"/>
      <c r="F13" s="7"/>
      <c r="G13" s="7"/>
      <c r="H13" s="7"/>
      <c r="I13" s="7"/>
      <c r="J13" s="7"/>
      <c r="K13" s="7"/>
      <c r="L13" s="7"/>
    </row>
    <row r="14" spans="1:12" ht="17.25">
      <c r="A14" s="9" t="str">
        <f>'SF.3.C.'!A1</f>
        <v>Figure SF.3.C. Response of oil inventories</v>
      </c>
      <c r="B14" s="7"/>
      <c r="C14" s="7"/>
      <c r="D14" s="7"/>
      <c r="E14" s="7"/>
      <c r="F14" s="7"/>
      <c r="G14" s="7"/>
      <c r="H14" s="7"/>
      <c r="I14" s="7"/>
      <c r="J14" s="7"/>
      <c r="K14" s="7"/>
      <c r="L14" s="7"/>
    </row>
    <row r="15" spans="1:12" ht="17.25">
      <c r="A15" s="9" t="str">
        <f>'SF.3.D.'!A1</f>
        <v>Figure SF.3.D. Oil price responses to selected geopolitical supply shocks</v>
      </c>
      <c r="B15" s="7"/>
      <c r="C15" s="7"/>
      <c r="D15" s="7"/>
      <c r="E15" s="7"/>
      <c r="F15" s="7"/>
      <c r="G15" s="7"/>
      <c r="H15" s="7"/>
      <c r="I15" s="7"/>
      <c r="J15" s="7"/>
      <c r="K15" s="7"/>
      <c r="L15" s="7"/>
    </row>
    <row r="16" spans="1:12" ht="17.25">
      <c r="A16" s="7"/>
      <c r="B16" s="7"/>
      <c r="C16" s="7"/>
      <c r="D16" s="7"/>
      <c r="E16" s="7"/>
      <c r="F16" s="7"/>
      <c r="G16" s="7"/>
      <c r="H16" s="7"/>
      <c r="I16" s="7"/>
      <c r="J16" s="7"/>
      <c r="K16" s="7"/>
      <c r="L16" s="7"/>
    </row>
    <row r="17" spans="1:12" ht="17.649999999999999">
      <c r="A17" s="8" t="s">
        <v>59</v>
      </c>
      <c r="B17" s="7"/>
      <c r="C17" s="7"/>
      <c r="D17" s="7"/>
      <c r="E17" s="7"/>
      <c r="F17" s="7"/>
      <c r="G17" s="7"/>
      <c r="H17" s="7"/>
      <c r="I17" s="7"/>
      <c r="J17" s="7"/>
      <c r="K17" s="7"/>
      <c r="L17" s="7"/>
    </row>
    <row r="18" spans="1:12" ht="17.25">
      <c r="A18" s="9" t="str">
        <f>'SF.4.A.'!A1</f>
        <v>Figure SF.4.A. Peak responses of non-oil commodity price indexes</v>
      </c>
      <c r="B18" s="7"/>
      <c r="C18" s="7"/>
      <c r="D18" s="7"/>
      <c r="E18" s="7"/>
      <c r="F18" s="7"/>
      <c r="G18" s="7"/>
      <c r="H18" s="7"/>
      <c r="I18" s="7"/>
      <c r="J18" s="7"/>
      <c r="K18" s="7"/>
      <c r="L18" s="7"/>
    </row>
    <row r="19" spans="1:12" ht="17.25">
      <c r="A19" s="9" t="str">
        <f>'SF.4.B.'!A1</f>
        <v>Figure SF.4.B. Peak responses of selected commodity prices</v>
      </c>
      <c r="B19" s="7"/>
      <c r="C19" s="7"/>
      <c r="D19" s="7"/>
      <c r="E19" s="7"/>
      <c r="F19" s="7"/>
      <c r="G19" s="7"/>
      <c r="H19" s="7"/>
      <c r="I19" s="7"/>
      <c r="J19" s="7"/>
      <c r="K19" s="7"/>
      <c r="L19" s="7"/>
    </row>
    <row r="20" spans="1:12" ht="17.25">
      <c r="A20" s="9" t="str">
        <f>'SF.4.C.'!A1</f>
        <v>Figure SF.4.C. Time path of response of natural gas prices</v>
      </c>
      <c r="B20" s="7"/>
      <c r="C20" s="7"/>
      <c r="D20" s="7"/>
      <c r="E20" s="7"/>
      <c r="F20" s="7"/>
      <c r="G20" s="7"/>
      <c r="H20" s="7"/>
      <c r="I20" s="7"/>
      <c r="J20" s="7"/>
      <c r="K20" s="7"/>
      <c r="L20" s="7"/>
    </row>
    <row r="21" spans="1:12" ht="17.25">
      <c r="A21" s="9" t="str">
        <f>'SF.4.D.'!A1</f>
        <v>Figure SF.4.D. Time path of response of fertilizer prices</v>
      </c>
      <c r="B21" s="7"/>
      <c r="C21" s="7"/>
      <c r="D21" s="7"/>
      <c r="E21" s="7"/>
      <c r="F21" s="7"/>
      <c r="G21" s="7"/>
      <c r="H21" s="7"/>
      <c r="I21" s="7"/>
      <c r="J21" s="7"/>
      <c r="K21" s="7"/>
      <c r="L21" s="7"/>
    </row>
    <row r="22" spans="1:12" ht="17.25">
      <c r="A22" s="7"/>
      <c r="B22" s="7"/>
      <c r="C22" s="7"/>
      <c r="D22" s="7"/>
      <c r="E22" s="7"/>
      <c r="F22" s="7"/>
      <c r="G22" s="7"/>
      <c r="H22" s="7"/>
      <c r="I22" s="7"/>
      <c r="J22" s="7"/>
      <c r="K22" s="7"/>
      <c r="L22" s="7"/>
    </row>
    <row r="23" spans="1:12" ht="17.25">
      <c r="A23" s="7"/>
      <c r="B23" s="7"/>
      <c r="C23" s="7"/>
      <c r="D23" s="7"/>
      <c r="E23" s="7"/>
      <c r="F23" s="7"/>
      <c r="G23" s="7"/>
      <c r="H23" s="7"/>
      <c r="I23" s="7"/>
      <c r="J23" s="7"/>
      <c r="K23" s="7"/>
      <c r="L23" s="7"/>
    </row>
    <row r="24" spans="1:12" ht="17.25">
      <c r="A24" s="7"/>
      <c r="B24" s="7"/>
      <c r="C24" s="7"/>
      <c r="D24" s="7"/>
      <c r="E24" s="7"/>
      <c r="F24" s="7"/>
      <c r="G24" s="7"/>
      <c r="H24" s="7"/>
      <c r="I24" s="7"/>
      <c r="J24" s="7"/>
      <c r="K24" s="7"/>
      <c r="L24" s="7"/>
    </row>
    <row r="25" spans="1:12" ht="17.25">
      <c r="A25" s="7"/>
      <c r="B25" s="7"/>
      <c r="C25" s="7"/>
      <c r="D25" s="7"/>
      <c r="E25" s="7"/>
      <c r="F25" s="7"/>
      <c r="G25" s="7"/>
      <c r="H25" s="7"/>
      <c r="I25" s="7"/>
      <c r="J25" s="7"/>
      <c r="K25" s="7"/>
      <c r="L25" s="7"/>
    </row>
    <row r="26" spans="1:12" ht="17.25">
      <c r="A26" s="7"/>
      <c r="B26" s="7"/>
      <c r="C26" s="7"/>
      <c r="D26" s="7"/>
      <c r="E26" s="7"/>
      <c r="F26" s="7"/>
      <c r="G26" s="7"/>
      <c r="H26" s="7"/>
      <c r="I26" s="7"/>
      <c r="J26" s="7"/>
      <c r="K26" s="7"/>
      <c r="L26" s="7"/>
    </row>
    <row r="27" spans="1:12" ht="17.25">
      <c r="A27" s="7"/>
      <c r="B27" s="7"/>
      <c r="C27" s="7"/>
      <c r="D27" s="7"/>
      <c r="E27" s="7"/>
      <c r="F27" s="7"/>
      <c r="G27" s="7"/>
      <c r="H27" s="7"/>
      <c r="I27" s="7"/>
      <c r="J27" s="7"/>
      <c r="K27" s="7"/>
      <c r="L27" s="7"/>
    </row>
    <row r="28" spans="1:12" ht="17.25">
      <c r="A28" s="7"/>
      <c r="B28" s="7"/>
      <c r="C28" s="7"/>
      <c r="D28" s="7"/>
      <c r="E28" s="7"/>
      <c r="F28" s="7"/>
      <c r="G28" s="7"/>
      <c r="H28" s="7"/>
      <c r="I28" s="7"/>
      <c r="J28" s="7"/>
      <c r="K28" s="7"/>
      <c r="L28" s="7"/>
    </row>
    <row r="29" spans="1:12" ht="17.25">
      <c r="A29" s="7"/>
      <c r="B29" s="7"/>
      <c r="C29" s="7"/>
      <c r="D29" s="7"/>
      <c r="E29" s="7"/>
      <c r="F29" s="7"/>
      <c r="G29" s="7"/>
      <c r="H29" s="7"/>
      <c r="I29" s="7"/>
      <c r="J29" s="7"/>
      <c r="K29" s="7"/>
      <c r="L29" s="7"/>
    </row>
    <row r="30" spans="1:12" ht="17.25">
      <c r="A30" s="7"/>
      <c r="B30" s="7"/>
      <c r="C30" s="7"/>
      <c r="D30" s="7"/>
      <c r="E30" s="7"/>
      <c r="F30" s="7"/>
      <c r="G30" s="7"/>
      <c r="H30" s="7"/>
      <c r="I30" s="7"/>
      <c r="J30" s="7"/>
      <c r="K30" s="7"/>
      <c r="L30" s="7"/>
    </row>
    <row r="31" spans="1:12" ht="17.25">
      <c r="A31" s="7"/>
      <c r="B31" s="7"/>
      <c r="C31" s="7"/>
      <c r="D31" s="7"/>
      <c r="E31" s="7"/>
      <c r="F31" s="7"/>
      <c r="G31" s="7"/>
      <c r="H31" s="7"/>
      <c r="I31" s="7"/>
      <c r="J31" s="7"/>
      <c r="K31" s="7"/>
      <c r="L31" s="7"/>
    </row>
    <row r="32" spans="1:12" ht="17.25">
      <c r="A32" s="7"/>
      <c r="B32" s="7"/>
      <c r="C32" s="7"/>
      <c r="D32" s="7"/>
      <c r="E32" s="7"/>
      <c r="F32" s="7"/>
      <c r="G32" s="7"/>
      <c r="H32" s="7"/>
      <c r="I32" s="7"/>
      <c r="J32" s="7"/>
      <c r="K32" s="7"/>
      <c r="L32" s="7"/>
    </row>
    <row r="33" spans="1:12" ht="17.25">
      <c r="A33" s="7"/>
      <c r="B33" s="7"/>
      <c r="C33" s="7"/>
      <c r="D33" s="7"/>
      <c r="E33" s="7"/>
      <c r="F33" s="7"/>
      <c r="G33" s="7"/>
      <c r="H33" s="7"/>
      <c r="I33" s="7"/>
      <c r="J33" s="7"/>
      <c r="K33" s="7"/>
      <c r="L33" s="7"/>
    </row>
    <row r="34" spans="1:12" ht="17.25">
      <c r="A34" s="7"/>
      <c r="B34" s="7"/>
      <c r="C34" s="7"/>
      <c r="D34" s="7"/>
      <c r="E34" s="7"/>
      <c r="F34" s="7"/>
      <c r="G34" s="7"/>
      <c r="H34" s="7"/>
      <c r="I34" s="7"/>
      <c r="J34" s="7"/>
      <c r="K34" s="7"/>
      <c r="L34" s="7"/>
    </row>
    <row r="35" spans="1:12" ht="17.25">
      <c r="A35" s="7"/>
      <c r="B35" s="7"/>
      <c r="C35" s="7"/>
      <c r="D35" s="7"/>
      <c r="E35" s="7"/>
      <c r="F35" s="7"/>
      <c r="G35" s="7"/>
      <c r="H35" s="7"/>
      <c r="I35" s="7"/>
      <c r="J35" s="7"/>
      <c r="K35" s="7"/>
      <c r="L35" s="7"/>
    </row>
    <row r="36" spans="1:12" ht="17.25">
      <c r="A36" s="7"/>
      <c r="B36" s="7"/>
      <c r="C36" s="7"/>
      <c r="D36" s="7"/>
      <c r="E36" s="7"/>
      <c r="F36" s="7"/>
      <c r="G36" s="7"/>
      <c r="H36" s="7"/>
      <c r="I36" s="7"/>
      <c r="J36" s="7"/>
      <c r="K36" s="7"/>
      <c r="L36" s="7"/>
    </row>
    <row r="37" spans="1:12" ht="17.25">
      <c r="A37" s="7"/>
      <c r="B37" s="7"/>
      <c r="C37" s="7"/>
      <c r="D37" s="7"/>
      <c r="E37" s="7"/>
      <c r="F37" s="7"/>
      <c r="G37" s="7"/>
      <c r="H37" s="7"/>
      <c r="I37" s="7"/>
      <c r="J37" s="7"/>
      <c r="K37" s="7"/>
      <c r="L37" s="7"/>
    </row>
    <row r="38" spans="1:12" ht="17.25">
      <c r="A38" s="7"/>
      <c r="B38" s="7"/>
      <c r="C38" s="7"/>
      <c r="D38" s="7"/>
      <c r="E38" s="7"/>
      <c r="F38" s="7"/>
      <c r="G38" s="7"/>
      <c r="H38" s="7"/>
      <c r="I38" s="7"/>
      <c r="J38" s="7"/>
      <c r="K38" s="7"/>
      <c r="L38" s="7"/>
    </row>
    <row r="39" spans="1:12" ht="17.25">
      <c r="A39" s="7"/>
      <c r="B39" s="7"/>
      <c r="C39" s="7"/>
      <c r="D39" s="7"/>
      <c r="E39" s="7"/>
      <c r="F39" s="7"/>
      <c r="G39" s="7"/>
      <c r="H39" s="7"/>
      <c r="I39" s="7"/>
      <c r="J39" s="7"/>
      <c r="K39" s="7"/>
      <c r="L39" s="7"/>
    </row>
    <row r="40" spans="1:12" ht="17.25">
      <c r="A40" s="7"/>
      <c r="B40" s="7"/>
      <c r="C40" s="7"/>
      <c r="D40" s="7"/>
      <c r="E40" s="7"/>
      <c r="F40" s="7"/>
      <c r="G40" s="7"/>
      <c r="H40" s="7"/>
      <c r="I40" s="7"/>
      <c r="J40" s="7"/>
      <c r="K40" s="7"/>
      <c r="L40" s="7"/>
    </row>
    <row r="41" spans="1:12" ht="17.25">
      <c r="A41" s="7"/>
      <c r="B41" s="7"/>
      <c r="C41" s="7"/>
      <c r="D41" s="7"/>
      <c r="E41" s="7"/>
      <c r="F41" s="7"/>
      <c r="G41" s="7"/>
      <c r="H41" s="7"/>
      <c r="I41" s="7"/>
      <c r="J41" s="7"/>
      <c r="K41" s="7"/>
      <c r="L41" s="7"/>
    </row>
    <row r="42" spans="1:12" ht="17.25">
      <c r="A42" s="7"/>
      <c r="B42" s="7"/>
      <c r="C42" s="7"/>
      <c r="D42" s="7"/>
      <c r="E42" s="7"/>
      <c r="F42" s="7"/>
      <c r="G42" s="7"/>
      <c r="H42" s="7"/>
      <c r="I42" s="7"/>
      <c r="J42" s="7"/>
      <c r="K42" s="7"/>
      <c r="L42" s="7"/>
    </row>
    <row r="43" spans="1:12" ht="17.25">
      <c r="A43" s="7"/>
      <c r="B43" s="7"/>
      <c r="C43" s="7"/>
      <c r="D43" s="7"/>
      <c r="E43" s="7"/>
      <c r="F43" s="7"/>
      <c r="G43" s="7"/>
      <c r="H43" s="7"/>
      <c r="I43" s="7"/>
      <c r="J43" s="7"/>
      <c r="K43" s="7"/>
      <c r="L43" s="7"/>
    </row>
    <row r="44" spans="1:12" ht="17.25">
      <c r="A44" s="7"/>
      <c r="B44" s="7"/>
      <c r="C44" s="7"/>
      <c r="D44" s="7"/>
      <c r="E44" s="7"/>
      <c r="F44" s="7"/>
      <c r="G44" s="7"/>
      <c r="H44" s="7"/>
      <c r="I44" s="7"/>
      <c r="J44" s="7"/>
      <c r="K44" s="7"/>
      <c r="L44" s="7"/>
    </row>
    <row r="45" spans="1:12" ht="17.25">
      <c r="A45" s="7"/>
      <c r="B45" s="7"/>
      <c r="C45" s="7"/>
      <c r="D45" s="7"/>
      <c r="E45" s="7"/>
      <c r="F45" s="7"/>
      <c r="G45" s="7"/>
      <c r="H45" s="7"/>
      <c r="I45" s="7"/>
      <c r="J45" s="7"/>
      <c r="K45" s="7"/>
      <c r="L45" s="7"/>
    </row>
    <row r="46" spans="1:12" ht="17.25">
      <c r="A46" s="7"/>
      <c r="B46" s="7"/>
      <c r="C46" s="7"/>
      <c r="D46" s="7"/>
      <c r="E46" s="7"/>
      <c r="F46" s="7"/>
      <c r="G46" s="7"/>
      <c r="H46" s="7"/>
      <c r="I46" s="7"/>
      <c r="J46" s="7"/>
      <c r="K46" s="7"/>
      <c r="L46" s="7"/>
    </row>
    <row r="47" spans="1:12" ht="17.25">
      <c r="A47" s="7"/>
      <c r="B47" s="7"/>
      <c r="C47" s="7"/>
      <c r="D47" s="7"/>
      <c r="E47" s="7"/>
      <c r="F47" s="7"/>
      <c r="G47" s="7"/>
      <c r="H47" s="7"/>
      <c r="I47" s="7"/>
      <c r="J47" s="7"/>
      <c r="K47" s="7"/>
      <c r="L47" s="7"/>
    </row>
    <row r="48" spans="1:12" ht="17.25">
      <c r="A48" s="7"/>
      <c r="B48" s="7"/>
      <c r="C48" s="7"/>
      <c r="D48" s="7"/>
      <c r="E48" s="7"/>
      <c r="F48" s="7"/>
      <c r="G48" s="7"/>
      <c r="H48" s="7"/>
      <c r="I48" s="7"/>
      <c r="J48" s="7"/>
      <c r="K48" s="7"/>
      <c r="L48" s="7"/>
    </row>
    <row r="49" spans="1:12" ht="17.25">
      <c r="A49" s="7"/>
      <c r="B49" s="7"/>
      <c r="C49" s="7"/>
      <c r="D49" s="7"/>
      <c r="E49" s="7"/>
      <c r="F49" s="7"/>
      <c r="G49" s="7"/>
      <c r="H49" s="7"/>
      <c r="I49" s="7"/>
      <c r="J49" s="7"/>
      <c r="K49" s="7"/>
      <c r="L49" s="7"/>
    </row>
    <row r="50" spans="1:12" ht="17.25">
      <c r="A50" s="7"/>
      <c r="B50" s="7"/>
      <c r="C50" s="7"/>
      <c r="D50" s="7"/>
      <c r="E50" s="7"/>
      <c r="F50" s="7"/>
      <c r="G50" s="7"/>
      <c r="H50" s="7"/>
      <c r="I50" s="7"/>
      <c r="J50" s="7"/>
      <c r="K50" s="7"/>
      <c r="L50" s="7"/>
    </row>
    <row r="51" spans="1:12" ht="17.25">
      <c r="A51" s="7"/>
      <c r="B51" s="7"/>
      <c r="C51" s="7"/>
      <c r="D51" s="7"/>
      <c r="E51" s="7"/>
      <c r="F51" s="7"/>
      <c r="G51" s="7"/>
      <c r="H51" s="7"/>
      <c r="I51" s="7"/>
      <c r="J51" s="7"/>
      <c r="K51" s="7"/>
      <c r="L51" s="7"/>
    </row>
    <row r="52" spans="1:12" ht="17.25">
      <c r="A52" s="7"/>
      <c r="B52" s="7"/>
      <c r="C52" s="7"/>
      <c r="D52" s="7"/>
      <c r="E52" s="7"/>
      <c r="F52" s="7"/>
      <c r="G52" s="7"/>
      <c r="H52" s="7"/>
      <c r="I52" s="7"/>
      <c r="J52" s="7"/>
      <c r="K52" s="7"/>
      <c r="L52" s="7"/>
    </row>
    <row r="53" spans="1:12" ht="17.25">
      <c r="A53" s="7"/>
      <c r="B53" s="7"/>
      <c r="C53" s="7"/>
      <c r="D53" s="7"/>
      <c r="E53" s="7"/>
      <c r="F53" s="7"/>
      <c r="G53" s="7"/>
      <c r="H53" s="7"/>
      <c r="I53" s="7"/>
      <c r="J53" s="7"/>
      <c r="K53" s="7"/>
      <c r="L53" s="7"/>
    </row>
    <row r="54" spans="1:12" ht="17.25">
      <c r="A54" s="7"/>
      <c r="B54" s="7"/>
      <c r="C54" s="7"/>
      <c r="D54" s="7"/>
      <c r="E54" s="7"/>
      <c r="F54" s="7"/>
      <c r="G54" s="7"/>
      <c r="H54" s="7"/>
      <c r="I54" s="7"/>
      <c r="J54" s="7"/>
      <c r="K54" s="7"/>
      <c r="L54" s="7"/>
    </row>
    <row r="55" spans="1:12" ht="17.25">
      <c r="A55" s="7"/>
      <c r="B55" s="7"/>
      <c r="C55" s="7"/>
      <c r="D55" s="7"/>
      <c r="E55" s="7"/>
      <c r="F55" s="7"/>
      <c r="G55" s="7"/>
      <c r="H55" s="7"/>
      <c r="I55" s="7"/>
      <c r="J55" s="7"/>
      <c r="K55" s="7"/>
      <c r="L55" s="7"/>
    </row>
    <row r="56" spans="1:12" ht="17.25">
      <c r="A56" s="7"/>
      <c r="B56" s="7"/>
      <c r="C56" s="7"/>
      <c r="D56" s="7"/>
      <c r="E56" s="7"/>
      <c r="F56" s="7"/>
      <c r="G56" s="7"/>
      <c r="H56" s="7"/>
      <c r="I56" s="7"/>
      <c r="J56" s="7"/>
      <c r="K56" s="7"/>
      <c r="L56" s="7"/>
    </row>
    <row r="57" spans="1:12" ht="17.25">
      <c r="A57" s="7"/>
      <c r="B57" s="7"/>
      <c r="C57" s="7"/>
      <c r="D57" s="7"/>
      <c r="E57" s="7"/>
      <c r="F57" s="7"/>
      <c r="G57" s="7"/>
      <c r="H57" s="7"/>
      <c r="I57" s="7"/>
      <c r="J57" s="7"/>
      <c r="K57" s="7"/>
      <c r="L57" s="7"/>
    </row>
    <row r="58" spans="1:12" ht="17.25">
      <c r="A58" s="7"/>
      <c r="B58" s="7"/>
      <c r="C58" s="7"/>
      <c r="D58" s="7"/>
      <c r="E58" s="7"/>
      <c r="F58" s="7"/>
      <c r="G58" s="7"/>
      <c r="H58" s="7"/>
      <c r="I58" s="7"/>
      <c r="J58" s="7"/>
      <c r="K58" s="7"/>
      <c r="L58" s="7"/>
    </row>
    <row r="59" spans="1:12" ht="17.25">
      <c r="A59" s="7"/>
      <c r="B59" s="7"/>
      <c r="C59" s="7"/>
      <c r="D59" s="7"/>
      <c r="E59" s="7"/>
      <c r="F59" s="7"/>
      <c r="G59" s="7"/>
      <c r="H59" s="7"/>
      <c r="I59" s="7"/>
      <c r="J59" s="7"/>
      <c r="K59" s="7"/>
      <c r="L59" s="7"/>
    </row>
    <row r="60" spans="1:12" ht="17.25">
      <c r="A60" s="7"/>
      <c r="B60" s="7"/>
      <c r="C60" s="7"/>
      <c r="D60" s="7"/>
      <c r="E60" s="7"/>
      <c r="F60" s="7"/>
      <c r="G60" s="7"/>
      <c r="H60" s="7"/>
      <c r="I60" s="7"/>
      <c r="J60" s="7"/>
      <c r="K60" s="7"/>
      <c r="L60" s="7"/>
    </row>
    <row r="61" spans="1:12" ht="17.25">
      <c r="A61" s="7"/>
      <c r="B61" s="7"/>
      <c r="C61" s="7"/>
      <c r="D61" s="7"/>
      <c r="E61" s="7"/>
      <c r="F61" s="7"/>
      <c r="G61" s="7"/>
      <c r="H61" s="7"/>
      <c r="I61" s="7"/>
      <c r="J61" s="7"/>
      <c r="K61" s="7"/>
      <c r="L61" s="7"/>
    </row>
    <row r="62" spans="1:12" ht="17.25">
      <c r="A62" s="7"/>
      <c r="B62" s="7"/>
      <c r="C62" s="7"/>
      <c r="D62" s="7"/>
      <c r="E62" s="7"/>
      <c r="F62" s="7"/>
      <c r="G62" s="7"/>
      <c r="H62" s="7"/>
      <c r="I62" s="7"/>
      <c r="J62" s="7"/>
      <c r="K62" s="7"/>
      <c r="L62" s="7"/>
    </row>
    <row r="63" spans="1:12" ht="17.25">
      <c r="A63" s="7"/>
      <c r="B63" s="7"/>
      <c r="C63" s="7"/>
      <c r="D63" s="7"/>
      <c r="E63" s="7"/>
      <c r="F63" s="7"/>
      <c r="G63" s="7"/>
      <c r="H63" s="7"/>
      <c r="I63" s="7"/>
      <c r="J63" s="7"/>
      <c r="K63" s="7"/>
      <c r="L63" s="7"/>
    </row>
    <row r="64" spans="1:12" ht="17.25">
      <c r="A64" s="7"/>
      <c r="B64" s="7"/>
      <c r="C64" s="7"/>
      <c r="D64" s="7"/>
      <c r="E64" s="7"/>
      <c r="F64" s="7"/>
      <c r="G64" s="7"/>
      <c r="H64" s="7"/>
      <c r="I64" s="7"/>
      <c r="J64" s="7"/>
      <c r="K64" s="7"/>
      <c r="L64" s="7"/>
    </row>
    <row r="65" spans="1:12" ht="17.25">
      <c r="A65" s="7"/>
      <c r="B65" s="7"/>
      <c r="C65" s="7"/>
      <c r="D65" s="7"/>
      <c r="E65" s="7"/>
      <c r="F65" s="7"/>
      <c r="G65" s="7"/>
      <c r="H65" s="7"/>
      <c r="I65" s="7"/>
      <c r="J65" s="7"/>
      <c r="K65" s="7"/>
      <c r="L65" s="7"/>
    </row>
    <row r="66" spans="1:12" ht="17.25">
      <c r="A66" s="7"/>
      <c r="B66" s="7"/>
      <c r="C66" s="7"/>
      <c r="D66" s="7"/>
      <c r="E66" s="7"/>
      <c r="F66" s="7"/>
      <c r="G66" s="7"/>
      <c r="H66" s="7"/>
      <c r="I66" s="7"/>
      <c r="J66" s="7"/>
      <c r="K66" s="7"/>
      <c r="L66" s="7"/>
    </row>
    <row r="67" spans="1:12" ht="17.25">
      <c r="A67" s="7"/>
      <c r="B67" s="7"/>
      <c r="C67" s="7"/>
      <c r="D67" s="7"/>
      <c r="E67" s="7"/>
      <c r="F67" s="7"/>
      <c r="G67" s="7"/>
      <c r="H67" s="7"/>
      <c r="I67" s="7"/>
      <c r="J67" s="7"/>
      <c r="K67" s="7"/>
      <c r="L67" s="7"/>
    </row>
    <row r="68" spans="1:12" ht="17.25">
      <c r="A68" s="7"/>
      <c r="B68" s="7"/>
      <c r="C68" s="7"/>
      <c r="D68" s="7"/>
      <c r="E68" s="7"/>
      <c r="F68" s="7"/>
      <c r="G68" s="7"/>
      <c r="H68" s="7"/>
      <c r="I68" s="7"/>
      <c r="J68" s="7"/>
      <c r="K68" s="7"/>
      <c r="L68" s="7"/>
    </row>
    <row r="69" spans="1:12" ht="17.25">
      <c r="A69" s="7"/>
      <c r="B69" s="7"/>
      <c r="C69" s="7"/>
      <c r="D69" s="7"/>
      <c r="E69" s="7"/>
      <c r="F69" s="7"/>
      <c r="G69" s="7"/>
      <c r="H69" s="7"/>
      <c r="I69" s="7"/>
      <c r="J69" s="7"/>
      <c r="K69" s="7"/>
      <c r="L69" s="7"/>
    </row>
    <row r="70" spans="1:12" ht="17.25">
      <c r="A70" s="7"/>
      <c r="B70" s="7"/>
      <c r="C70" s="7"/>
      <c r="D70" s="7"/>
      <c r="E70" s="7"/>
      <c r="F70" s="7"/>
      <c r="G70" s="7"/>
      <c r="H70" s="7"/>
      <c r="I70" s="7"/>
      <c r="J70" s="7"/>
      <c r="K70" s="7"/>
      <c r="L70" s="7"/>
    </row>
    <row r="71" spans="1:12" ht="17.25">
      <c r="A71" s="7"/>
      <c r="B71" s="7"/>
      <c r="C71" s="7"/>
      <c r="D71" s="7"/>
      <c r="E71" s="7"/>
      <c r="F71" s="7"/>
      <c r="G71" s="7"/>
      <c r="H71" s="7"/>
      <c r="I71" s="7"/>
      <c r="J71" s="7"/>
      <c r="K71" s="7"/>
      <c r="L71" s="7"/>
    </row>
    <row r="72" spans="1:12" ht="17.25">
      <c r="A72" s="7"/>
      <c r="B72" s="7"/>
      <c r="C72" s="7"/>
      <c r="D72" s="7"/>
      <c r="E72" s="7"/>
      <c r="F72" s="7"/>
      <c r="G72" s="7"/>
      <c r="H72" s="7"/>
      <c r="I72" s="7"/>
      <c r="J72" s="7"/>
      <c r="K72" s="7"/>
      <c r="L72" s="7"/>
    </row>
    <row r="73" spans="1:12" ht="17.25">
      <c r="A73" s="7"/>
      <c r="B73" s="7"/>
      <c r="C73" s="7"/>
      <c r="D73" s="7"/>
      <c r="E73" s="7"/>
      <c r="F73" s="7"/>
      <c r="G73" s="7"/>
      <c r="H73" s="7"/>
      <c r="I73" s="7"/>
      <c r="J73" s="7"/>
      <c r="K73" s="7"/>
      <c r="L73" s="7"/>
    </row>
    <row r="74" spans="1:12" ht="17.25">
      <c r="A74" s="7"/>
      <c r="B74" s="7"/>
      <c r="C74" s="7"/>
      <c r="D74" s="7"/>
      <c r="E74" s="7"/>
      <c r="F74" s="7"/>
      <c r="G74" s="7"/>
      <c r="H74" s="7"/>
      <c r="I74" s="7"/>
      <c r="J74" s="7"/>
      <c r="K74" s="7"/>
      <c r="L74" s="7"/>
    </row>
    <row r="75" spans="1:12" ht="17.25">
      <c r="A75" s="7"/>
      <c r="B75" s="7"/>
      <c r="C75" s="7"/>
      <c r="D75" s="7"/>
      <c r="E75" s="7"/>
      <c r="F75" s="7"/>
      <c r="G75" s="7"/>
      <c r="H75" s="7"/>
      <c r="I75" s="7"/>
      <c r="J75" s="7"/>
      <c r="K75" s="7"/>
      <c r="L75" s="7"/>
    </row>
    <row r="76" spans="1:12" ht="17.25">
      <c r="A76" s="7"/>
      <c r="B76" s="7"/>
      <c r="C76" s="7"/>
      <c r="D76" s="7"/>
      <c r="E76" s="7"/>
      <c r="F76" s="7"/>
      <c r="G76" s="7"/>
      <c r="H76" s="7"/>
      <c r="I76" s="7"/>
      <c r="J76" s="7"/>
      <c r="K76" s="7"/>
      <c r="L76" s="7"/>
    </row>
    <row r="77" spans="1:12" ht="17.25">
      <c r="A77" s="7"/>
      <c r="B77" s="7"/>
      <c r="C77" s="7"/>
      <c r="D77" s="7"/>
      <c r="E77" s="7"/>
      <c r="F77" s="7"/>
      <c r="G77" s="7"/>
      <c r="H77" s="7"/>
      <c r="I77" s="7"/>
      <c r="J77" s="7"/>
      <c r="K77" s="7"/>
      <c r="L77" s="7"/>
    </row>
    <row r="78" spans="1:12" ht="17.25">
      <c r="A78" s="7"/>
      <c r="B78" s="7"/>
      <c r="C78" s="7"/>
      <c r="D78" s="7"/>
      <c r="E78" s="7"/>
      <c r="F78" s="7"/>
      <c r="G78" s="7"/>
      <c r="H78" s="7"/>
      <c r="I78" s="7"/>
      <c r="J78" s="7"/>
      <c r="K78" s="7"/>
      <c r="L78" s="7"/>
    </row>
    <row r="79" spans="1:12" ht="17.25">
      <c r="A79" s="7"/>
      <c r="B79" s="7"/>
      <c r="C79" s="7"/>
      <c r="D79" s="7"/>
      <c r="E79" s="7"/>
      <c r="F79" s="7"/>
      <c r="G79" s="7"/>
      <c r="H79" s="7"/>
      <c r="I79" s="7"/>
      <c r="J79" s="7"/>
      <c r="K79" s="7"/>
      <c r="L79" s="7"/>
    </row>
    <row r="80" spans="1:12" ht="17.25">
      <c r="A80" s="7"/>
      <c r="B80" s="7"/>
      <c r="C80" s="7"/>
      <c r="D80" s="7"/>
      <c r="E80" s="7"/>
      <c r="F80" s="7"/>
      <c r="G80" s="7"/>
      <c r="H80" s="7"/>
      <c r="I80" s="7"/>
      <c r="J80" s="7"/>
      <c r="K80" s="7"/>
      <c r="L80" s="7"/>
    </row>
    <row r="81" spans="1:12" ht="17.25">
      <c r="A81" s="7"/>
      <c r="B81" s="7"/>
      <c r="C81" s="7"/>
      <c r="D81" s="7"/>
      <c r="E81" s="7"/>
      <c r="F81" s="7"/>
      <c r="G81" s="7"/>
      <c r="H81" s="7"/>
      <c r="I81" s="7"/>
      <c r="J81" s="7"/>
      <c r="K81" s="7"/>
      <c r="L81" s="7"/>
    </row>
    <row r="82" spans="1:12" ht="17.25">
      <c r="A82" s="7"/>
      <c r="B82" s="7"/>
      <c r="C82" s="7"/>
      <c r="D82" s="7"/>
      <c r="E82" s="7"/>
      <c r="F82" s="7"/>
      <c r="G82" s="7"/>
      <c r="H82" s="7"/>
      <c r="I82" s="7"/>
      <c r="J82" s="7"/>
      <c r="K82" s="7"/>
      <c r="L82" s="7"/>
    </row>
    <row r="83" spans="1:12" ht="17.25">
      <c r="A83" s="7"/>
      <c r="B83" s="7"/>
      <c r="C83" s="7"/>
      <c r="D83" s="7"/>
      <c r="E83" s="7"/>
      <c r="F83" s="7"/>
      <c r="G83" s="7"/>
      <c r="H83" s="7"/>
      <c r="I83" s="7"/>
      <c r="J83" s="7"/>
      <c r="K83" s="7"/>
      <c r="L83" s="7"/>
    </row>
    <row r="84" spans="1:12" ht="17.25">
      <c r="A84" s="7"/>
      <c r="B84" s="7"/>
      <c r="C84" s="7"/>
      <c r="D84" s="7"/>
      <c r="E84" s="7"/>
      <c r="F84" s="7"/>
      <c r="G84" s="7"/>
      <c r="H84" s="7"/>
      <c r="I84" s="7"/>
      <c r="J84" s="7"/>
      <c r="K84" s="7"/>
      <c r="L84" s="7"/>
    </row>
    <row r="85" spans="1:12" ht="17.25">
      <c r="A85" s="7"/>
      <c r="B85" s="7"/>
      <c r="C85" s="7"/>
      <c r="D85" s="7"/>
      <c r="E85" s="7"/>
      <c r="F85" s="7"/>
      <c r="G85" s="7"/>
      <c r="H85" s="7"/>
      <c r="I85" s="7"/>
      <c r="J85" s="7"/>
      <c r="K85" s="7"/>
      <c r="L85" s="7"/>
    </row>
    <row r="86" spans="1:12" ht="17.25">
      <c r="A86" s="7"/>
      <c r="B86" s="7"/>
      <c r="C86" s="7"/>
      <c r="D86" s="7"/>
      <c r="E86" s="7"/>
      <c r="F86" s="7"/>
      <c r="G86" s="7"/>
      <c r="H86" s="7"/>
      <c r="I86" s="7"/>
      <c r="J86" s="7"/>
      <c r="K86" s="7"/>
      <c r="L86" s="7"/>
    </row>
    <row r="87" spans="1:12" ht="17.25">
      <c r="A87" s="7"/>
      <c r="B87" s="7"/>
      <c r="C87" s="7"/>
      <c r="D87" s="7"/>
      <c r="E87" s="7"/>
      <c r="F87" s="7"/>
      <c r="G87" s="7"/>
      <c r="H87" s="7"/>
      <c r="I87" s="7"/>
      <c r="J87" s="7"/>
      <c r="K87" s="7"/>
      <c r="L87" s="7"/>
    </row>
    <row r="88" spans="1:12" ht="17.25">
      <c r="A88" s="7"/>
      <c r="B88" s="7"/>
      <c r="C88" s="7"/>
      <c r="D88" s="7"/>
      <c r="E88" s="7"/>
      <c r="F88" s="7"/>
      <c r="G88" s="7"/>
      <c r="H88" s="7"/>
      <c r="I88" s="7"/>
      <c r="J88" s="7"/>
      <c r="K88" s="7"/>
      <c r="L88" s="7"/>
    </row>
    <row r="89" spans="1:12" ht="17.25">
      <c r="A89" s="7"/>
      <c r="B89" s="7"/>
      <c r="C89" s="7"/>
      <c r="D89" s="7"/>
      <c r="E89" s="7"/>
      <c r="F89" s="7"/>
      <c r="G89" s="7"/>
      <c r="H89" s="7"/>
      <c r="I89" s="7"/>
      <c r="J89" s="7"/>
      <c r="K89" s="7"/>
      <c r="L89" s="7"/>
    </row>
    <row r="90" spans="1:12" ht="17.25">
      <c r="A90" s="7"/>
      <c r="B90" s="7"/>
      <c r="C90" s="7"/>
      <c r="D90" s="7"/>
      <c r="E90" s="7"/>
      <c r="F90" s="7"/>
      <c r="G90" s="7"/>
      <c r="H90" s="7"/>
      <c r="I90" s="7"/>
      <c r="J90" s="7"/>
      <c r="K90" s="7"/>
      <c r="L90" s="7"/>
    </row>
    <row r="91" spans="1:12" ht="17.25">
      <c r="A91" s="7"/>
      <c r="B91" s="7"/>
      <c r="C91" s="7"/>
      <c r="D91" s="7"/>
      <c r="E91" s="7"/>
      <c r="F91" s="7"/>
      <c r="G91" s="7"/>
      <c r="H91" s="7"/>
      <c r="I91" s="7"/>
      <c r="J91" s="7"/>
      <c r="K91" s="7"/>
      <c r="L91" s="7"/>
    </row>
    <row r="92" spans="1:12" ht="17.25">
      <c r="A92" s="7"/>
      <c r="B92" s="7"/>
      <c r="C92" s="7"/>
      <c r="D92" s="7"/>
      <c r="E92" s="7"/>
      <c r="F92" s="7"/>
      <c r="G92" s="7"/>
      <c r="H92" s="7"/>
      <c r="I92" s="7"/>
      <c r="J92" s="7"/>
      <c r="K92" s="7"/>
      <c r="L92" s="7"/>
    </row>
    <row r="93" spans="1:12" ht="17.25">
      <c r="A93" s="7"/>
      <c r="B93" s="7"/>
      <c r="C93" s="7"/>
      <c r="D93" s="7"/>
      <c r="E93" s="7"/>
      <c r="F93" s="7"/>
      <c r="G93" s="7"/>
      <c r="H93" s="7"/>
      <c r="I93" s="7"/>
      <c r="J93" s="7"/>
      <c r="K93" s="7"/>
      <c r="L93" s="7"/>
    </row>
    <row r="94" spans="1:12" ht="17.25">
      <c r="A94" s="7"/>
      <c r="B94" s="7"/>
      <c r="C94" s="7"/>
      <c r="D94" s="7"/>
      <c r="E94" s="7"/>
      <c r="F94" s="7"/>
      <c r="G94" s="7"/>
      <c r="H94" s="7"/>
      <c r="I94" s="7"/>
      <c r="J94" s="7"/>
      <c r="K94" s="7"/>
      <c r="L94" s="7"/>
    </row>
    <row r="95" spans="1:12" ht="17.25">
      <c r="A95" s="7"/>
      <c r="B95" s="7"/>
      <c r="C95" s="7"/>
      <c r="D95" s="7"/>
      <c r="E95" s="7"/>
      <c r="F95" s="7"/>
      <c r="G95" s="7"/>
      <c r="H95" s="7"/>
      <c r="I95" s="7"/>
      <c r="J95" s="7"/>
      <c r="K95" s="7"/>
      <c r="L95" s="7"/>
    </row>
    <row r="96" spans="1:12" ht="17.25">
      <c r="A96" s="7"/>
      <c r="B96" s="7"/>
      <c r="C96" s="7"/>
      <c r="D96" s="7"/>
      <c r="E96" s="7"/>
      <c r="F96" s="7"/>
      <c r="G96" s="7"/>
      <c r="H96" s="7"/>
      <c r="I96" s="7"/>
      <c r="J96" s="7"/>
      <c r="K96" s="7"/>
      <c r="L96" s="7"/>
    </row>
    <row r="97" spans="1:12" ht="17.25">
      <c r="A97" s="7"/>
      <c r="B97" s="7"/>
      <c r="C97" s="7"/>
      <c r="D97" s="7"/>
      <c r="E97" s="7"/>
      <c r="F97" s="7"/>
      <c r="G97" s="7"/>
      <c r="H97" s="7"/>
      <c r="I97" s="7"/>
      <c r="J97" s="7"/>
      <c r="K97" s="7"/>
      <c r="L97" s="7"/>
    </row>
    <row r="98" spans="1:12" ht="17.25">
      <c r="A98" s="7"/>
      <c r="B98" s="7"/>
      <c r="C98" s="7"/>
      <c r="D98" s="7"/>
      <c r="E98" s="7"/>
      <c r="F98" s="7"/>
      <c r="G98" s="7"/>
      <c r="H98" s="7"/>
      <c r="I98" s="7"/>
      <c r="J98" s="7"/>
      <c r="K98" s="7"/>
      <c r="L98" s="7"/>
    </row>
    <row r="99" spans="1:12" ht="17.25">
      <c r="A99" s="7"/>
      <c r="B99" s="7"/>
      <c r="C99" s="7"/>
      <c r="D99" s="7"/>
      <c r="E99" s="7"/>
      <c r="F99" s="7"/>
      <c r="G99" s="7"/>
      <c r="H99" s="7"/>
      <c r="I99" s="7"/>
      <c r="J99" s="7"/>
      <c r="K99" s="7"/>
      <c r="L99" s="7"/>
    </row>
    <row r="100" spans="1:12" ht="17.25">
      <c r="A100" s="7"/>
      <c r="B100" s="7"/>
      <c r="C100" s="7"/>
      <c r="D100" s="7"/>
      <c r="E100" s="7"/>
      <c r="F100" s="7"/>
      <c r="G100" s="7"/>
      <c r="H100" s="7"/>
      <c r="I100" s="7"/>
      <c r="J100" s="7"/>
      <c r="K100" s="7"/>
      <c r="L100" s="7"/>
    </row>
    <row r="101" spans="1:12" ht="17.25">
      <c r="A101" s="7"/>
      <c r="B101" s="7"/>
      <c r="C101" s="7"/>
      <c r="D101" s="7"/>
      <c r="E101" s="7"/>
      <c r="F101" s="7"/>
      <c r="G101" s="7"/>
      <c r="H101" s="7"/>
      <c r="I101" s="7"/>
      <c r="J101" s="7"/>
      <c r="K101" s="7"/>
      <c r="L101" s="7"/>
    </row>
    <row r="102" spans="1:12" ht="17.25">
      <c r="A102" s="7"/>
      <c r="B102" s="7"/>
      <c r="C102" s="7"/>
      <c r="D102" s="7"/>
      <c r="E102" s="7"/>
      <c r="F102" s="7"/>
      <c r="G102" s="7"/>
      <c r="H102" s="7"/>
      <c r="I102" s="7"/>
      <c r="J102" s="7"/>
      <c r="K102" s="7"/>
      <c r="L102" s="7"/>
    </row>
    <row r="103" spans="1:12" ht="17.25">
      <c r="A103" s="7"/>
      <c r="B103" s="7"/>
      <c r="C103" s="7"/>
      <c r="D103" s="7"/>
      <c r="E103" s="7"/>
      <c r="F103" s="7"/>
      <c r="G103" s="7"/>
      <c r="H103" s="7"/>
      <c r="I103" s="7"/>
      <c r="J103" s="7"/>
      <c r="K103" s="7"/>
      <c r="L103" s="7"/>
    </row>
    <row r="104" spans="1:12" ht="17.25">
      <c r="A104" s="7"/>
      <c r="B104" s="7"/>
      <c r="C104" s="7"/>
      <c r="D104" s="7"/>
      <c r="E104" s="7"/>
      <c r="F104" s="7"/>
      <c r="G104" s="7"/>
      <c r="H104" s="7"/>
      <c r="I104" s="7"/>
      <c r="J104" s="7"/>
      <c r="K104" s="7"/>
      <c r="L104" s="7"/>
    </row>
    <row r="105" spans="1:12" ht="17.25">
      <c r="A105" s="7"/>
      <c r="B105" s="7"/>
      <c r="C105" s="7"/>
      <c r="D105" s="7"/>
      <c r="E105" s="7"/>
      <c r="F105" s="7"/>
      <c r="G105" s="7"/>
      <c r="H105" s="7"/>
      <c r="I105" s="7"/>
      <c r="J105" s="7"/>
      <c r="K105" s="7"/>
      <c r="L105" s="7"/>
    </row>
    <row r="106" spans="1:12" ht="17.25">
      <c r="A106" s="7"/>
      <c r="B106" s="7"/>
      <c r="C106" s="7"/>
      <c r="D106" s="7"/>
      <c r="E106" s="7"/>
      <c r="F106" s="7"/>
      <c r="G106" s="7"/>
      <c r="H106" s="7"/>
      <c r="I106" s="7"/>
      <c r="J106" s="7"/>
      <c r="K106" s="7"/>
      <c r="L106" s="7"/>
    </row>
    <row r="107" spans="1:12" ht="17.25">
      <c r="A107" s="7"/>
      <c r="B107" s="7"/>
      <c r="C107" s="7"/>
      <c r="D107" s="7"/>
      <c r="E107" s="7"/>
      <c r="F107" s="7"/>
      <c r="G107" s="7"/>
      <c r="H107" s="7"/>
      <c r="I107" s="7"/>
      <c r="J107" s="7"/>
      <c r="K107" s="7"/>
      <c r="L107" s="7"/>
    </row>
    <row r="108" spans="1:12" ht="17.25">
      <c r="A108" s="7"/>
      <c r="B108" s="7"/>
      <c r="C108" s="7"/>
      <c r="D108" s="7"/>
      <c r="E108" s="7"/>
      <c r="F108" s="7"/>
      <c r="G108" s="7"/>
      <c r="H108" s="7"/>
      <c r="I108" s="7"/>
      <c r="J108" s="7"/>
      <c r="K108" s="7"/>
      <c r="L108" s="7"/>
    </row>
    <row r="109" spans="1:12" ht="17.25">
      <c r="A109" s="7"/>
      <c r="B109" s="7"/>
      <c r="C109" s="7"/>
      <c r="D109" s="7"/>
      <c r="E109" s="7"/>
      <c r="F109" s="7"/>
      <c r="G109" s="7"/>
      <c r="H109" s="7"/>
      <c r="I109" s="7"/>
      <c r="J109" s="7"/>
      <c r="K109" s="7"/>
      <c r="L109" s="7"/>
    </row>
    <row r="110" spans="1:12" ht="17.25">
      <c r="A110" s="7"/>
      <c r="B110" s="7"/>
      <c r="C110" s="7"/>
      <c r="D110" s="7"/>
      <c r="E110" s="7"/>
      <c r="F110" s="7"/>
      <c r="G110" s="7"/>
      <c r="H110" s="7"/>
      <c r="I110" s="7"/>
      <c r="J110" s="7"/>
      <c r="K110" s="7"/>
      <c r="L110" s="7"/>
    </row>
    <row r="111" spans="1:12" ht="17.25">
      <c r="A111" s="7"/>
      <c r="B111" s="7"/>
      <c r="C111" s="7"/>
      <c r="D111" s="7"/>
      <c r="E111" s="7"/>
      <c r="F111" s="7"/>
      <c r="G111" s="7"/>
      <c r="H111" s="7"/>
      <c r="I111" s="7"/>
      <c r="J111" s="7"/>
      <c r="K111" s="7"/>
      <c r="L111" s="7"/>
    </row>
    <row r="112" spans="1:12" ht="17.25">
      <c r="A112" s="7"/>
      <c r="B112" s="7"/>
      <c r="C112" s="7"/>
      <c r="D112" s="7"/>
      <c r="E112" s="7"/>
      <c r="F112" s="7"/>
      <c r="G112" s="7"/>
      <c r="H112" s="7"/>
      <c r="I112" s="7"/>
      <c r="J112" s="7"/>
      <c r="K112" s="7"/>
      <c r="L112" s="7"/>
    </row>
    <row r="113" spans="1:12" ht="17.25">
      <c r="A113" s="7"/>
      <c r="B113" s="7"/>
      <c r="C113" s="7"/>
      <c r="D113" s="7"/>
      <c r="E113" s="7"/>
      <c r="F113" s="7"/>
      <c r="G113" s="7"/>
      <c r="H113" s="7"/>
      <c r="I113" s="7"/>
      <c r="J113" s="7"/>
      <c r="K113" s="7"/>
      <c r="L113" s="7"/>
    </row>
    <row r="114" spans="1:12" ht="17.25">
      <c r="A114" s="7"/>
      <c r="B114" s="7"/>
      <c r="C114" s="7"/>
      <c r="D114" s="7"/>
      <c r="E114" s="7"/>
      <c r="F114" s="7"/>
      <c r="G114" s="7"/>
      <c r="H114" s="7"/>
      <c r="I114" s="7"/>
      <c r="J114" s="7"/>
      <c r="K114" s="7"/>
      <c r="L114" s="7"/>
    </row>
    <row r="115" spans="1:12" ht="17.25">
      <c r="A115" s="7"/>
      <c r="B115" s="7"/>
      <c r="C115" s="7"/>
      <c r="D115" s="7"/>
      <c r="E115" s="7"/>
      <c r="F115" s="7"/>
      <c r="G115" s="7"/>
      <c r="H115" s="7"/>
      <c r="I115" s="7"/>
      <c r="J115" s="7"/>
      <c r="K115" s="7"/>
      <c r="L115" s="7"/>
    </row>
    <row r="116" spans="1:12" ht="17.25">
      <c r="A116" s="7"/>
      <c r="B116" s="7"/>
      <c r="C116" s="7"/>
      <c r="D116" s="7"/>
      <c r="E116" s="7"/>
      <c r="F116" s="7"/>
      <c r="G116" s="7"/>
      <c r="H116" s="7"/>
      <c r="I116" s="7"/>
      <c r="J116" s="7"/>
      <c r="K116" s="7"/>
      <c r="L116" s="7"/>
    </row>
    <row r="117" spans="1:12" ht="17.25">
      <c r="A117" s="7"/>
      <c r="B117" s="7"/>
      <c r="C117" s="7"/>
      <c r="D117" s="7"/>
      <c r="E117" s="7"/>
      <c r="F117" s="7"/>
      <c r="G117" s="7"/>
      <c r="H117" s="7"/>
      <c r="I117" s="7"/>
      <c r="J117" s="7"/>
      <c r="K117" s="7"/>
      <c r="L117" s="7"/>
    </row>
    <row r="118" spans="1:12" ht="17.25">
      <c r="A118" s="7"/>
      <c r="B118" s="7"/>
      <c r="C118" s="7"/>
      <c r="D118" s="7"/>
      <c r="E118" s="7"/>
      <c r="F118" s="7"/>
      <c r="G118" s="7"/>
      <c r="H118" s="7"/>
      <c r="I118" s="7"/>
      <c r="J118" s="7"/>
      <c r="K118" s="7"/>
      <c r="L118" s="7"/>
    </row>
    <row r="119" spans="1:12" ht="17.25">
      <c r="A119" s="7"/>
      <c r="B119" s="7"/>
      <c r="C119" s="7"/>
      <c r="D119" s="7"/>
      <c r="E119" s="7"/>
      <c r="F119" s="7"/>
      <c r="G119" s="7"/>
      <c r="H119" s="7"/>
      <c r="I119" s="7"/>
      <c r="J119" s="7"/>
      <c r="K119" s="7"/>
      <c r="L119" s="7"/>
    </row>
    <row r="120" spans="1:12" ht="17.25">
      <c r="A120" s="7"/>
      <c r="B120" s="7"/>
      <c r="C120" s="7"/>
      <c r="D120" s="7"/>
      <c r="E120" s="7"/>
      <c r="F120" s="7"/>
      <c r="G120" s="7"/>
      <c r="H120" s="7"/>
      <c r="I120" s="7"/>
      <c r="J120" s="7"/>
      <c r="K120" s="7"/>
      <c r="L120" s="7"/>
    </row>
    <row r="121" spans="1:12" ht="17.25">
      <c r="A121" s="7"/>
      <c r="B121" s="7"/>
      <c r="C121" s="7"/>
      <c r="D121" s="7"/>
      <c r="E121" s="7"/>
      <c r="F121" s="7"/>
      <c r="G121" s="7"/>
      <c r="H121" s="7"/>
      <c r="I121" s="7"/>
      <c r="J121" s="7"/>
      <c r="K121" s="7"/>
      <c r="L121" s="7"/>
    </row>
    <row r="122" spans="1:12" ht="17.25">
      <c r="A122" s="7"/>
      <c r="B122" s="7"/>
      <c r="C122" s="7"/>
      <c r="D122" s="7"/>
      <c r="E122" s="7"/>
      <c r="F122" s="7"/>
      <c r="G122" s="7"/>
      <c r="H122" s="7"/>
      <c r="I122" s="7"/>
      <c r="J122" s="7"/>
      <c r="K122" s="7"/>
      <c r="L122" s="7"/>
    </row>
    <row r="123" spans="1:12" ht="17.25">
      <c r="A123" s="7"/>
      <c r="B123" s="7"/>
      <c r="C123" s="7"/>
      <c r="D123" s="7"/>
      <c r="E123" s="7"/>
      <c r="F123" s="7"/>
      <c r="G123" s="7"/>
      <c r="H123" s="7"/>
      <c r="I123" s="7"/>
      <c r="J123" s="7"/>
      <c r="K123" s="7"/>
      <c r="L123" s="7"/>
    </row>
    <row r="124" spans="1:12" ht="17.25">
      <c r="A124" s="7"/>
      <c r="B124" s="7"/>
      <c r="C124" s="7"/>
      <c r="D124" s="7"/>
      <c r="E124" s="7"/>
      <c r="F124" s="7"/>
      <c r="G124" s="7"/>
      <c r="H124" s="7"/>
      <c r="I124" s="7"/>
      <c r="J124" s="7"/>
      <c r="K124" s="7"/>
      <c r="L124" s="7"/>
    </row>
    <row r="125" spans="1:12" ht="17.25">
      <c r="A125" s="7"/>
      <c r="B125" s="7"/>
      <c r="C125" s="7"/>
      <c r="D125" s="7"/>
      <c r="E125" s="7"/>
      <c r="F125" s="7"/>
      <c r="G125" s="7"/>
      <c r="H125" s="7"/>
      <c r="I125" s="7"/>
      <c r="J125" s="7"/>
      <c r="K125" s="7"/>
      <c r="L125" s="7"/>
    </row>
    <row r="126" spans="1:12" ht="17.25">
      <c r="A126" s="7"/>
      <c r="B126" s="7"/>
      <c r="C126" s="7"/>
      <c r="D126" s="7"/>
      <c r="E126" s="7"/>
      <c r="F126" s="7"/>
      <c r="G126" s="7"/>
      <c r="H126" s="7"/>
      <c r="I126" s="7"/>
      <c r="J126" s="7"/>
      <c r="K126" s="7"/>
      <c r="L126" s="7"/>
    </row>
    <row r="127" spans="1:12" ht="17.25">
      <c r="A127" s="7"/>
      <c r="B127" s="7"/>
      <c r="C127" s="7"/>
      <c r="D127" s="7"/>
      <c r="E127" s="7"/>
      <c r="F127" s="7"/>
      <c r="G127" s="7"/>
      <c r="H127" s="7"/>
      <c r="I127" s="7"/>
      <c r="J127" s="7"/>
      <c r="K127" s="7"/>
      <c r="L127" s="7"/>
    </row>
    <row r="128" spans="1:12" ht="17.25">
      <c r="A128" s="7"/>
      <c r="B128" s="7"/>
      <c r="C128" s="7"/>
      <c r="D128" s="7"/>
      <c r="E128" s="7"/>
      <c r="F128" s="7"/>
      <c r="G128" s="7"/>
      <c r="H128" s="7"/>
      <c r="I128" s="7"/>
      <c r="J128" s="7"/>
      <c r="K128" s="7"/>
      <c r="L128" s="7"/>
    </row>
    <row r="129" spans="1:12" ht="17.25">
      <c r="A129" s="7"/>
      <c r="B129" s="7"/>
      <c r="C129" s="7"/>
      <c r="D129" s="7"/>
      <c r="E129" s="7"/>
      <c r="F129" s="7"/>
      <c r="G129" s="7"/>
      <c r="H129" s="7"/>
      <c r="I129" s="7"/>
      <c r="J129" s="7"/>
      <c r="K129" s="7"/>
      <c r="L129" s="7"/>
    </row>
    <row r="130" spans="1:12" ht="17.25">
      <c r="A130" s="7"/>
      <c r="B130" s="7"/>
      <c r="C130" s="7"/>
      <c r="D130" s="7"/>
      <c r="E130" s="7"/>
      <c r="F130" s="7"/>
      <c r="G130" s="7"/>
      <c r="H130" s="7"/>
      <c r="I130" s="7"/>
      <c r="J130" s="7"/>
      <c r="K130" s="7"/>
      <c r="L130" s="7"/>
    </row>
    <row r="131" spans="1:12" ht="17.25">
      <c r="A131" s="7"/>
      <c r="B131" s="7"/>
      <c r="C131" s="7"/>
      <c r="D131" s="7"/>
      <c r="E131" s="7"/>
      <c r="F131" s="7"/>
      <c r="G131" s="7"/>
      <c r="H131" s="7"/>
      <c r="I131" s="7"/>
      <c r="J131" s="7"/>
      <c r="K131" s="7"/>
      <c r="L131" s="7"/>
    </row>
    <row r="132" spans="1:12" ht="17.25">
      <c r="A132" s="7"/>
      <c r="B132" s="7"/>
      <c r="C132" s="7"/>
      <c r="D132" s="7"/>
      <c r="E132" s="7"/>
      <c r="F132" s="7"/>
      <c r="G132" s="7"/>
      <c r="H132" s="7"/>
      <c r="I132" s="7"/>
      <c r="J132" s="7"/>
      <c r="K132" s="7"/>
      <c r="L132" s="7"/>
    </row>
    <row r="133" spans="1:12" ht="17.25">
      <c r="A133" s="7"/>
      <c r="B133" s="7"/>
      <c r="C133" s="7"/>
      <c r="D133" s="7"/>
      <c r="E133" s="7"/>
      <c r="F133" s="7"/>
      <c r="G133" s="7"/>
      <c r="H133" s="7"/>
      <c r="I133" s="7"/>
      <c r="J133" s="7"/>
      <c r="K133" s="7"/>
      <c r="L133" s="7"/>
    </row>
    <row r="134" spans="1:12" ht="17.25">
      <c r="A134" s="7"/>
      <c r="B134" s="7"/>
      <c r="C134" s="7"/>
      <c r="D134" s="7"/>
      <c r="E134" s="7"/>
      <c r="F134" s="7"/>
      <c r="G134" s="7"/>
      <c r="H134" s="7"/>
      <c r="I134" s="7"/>
      <c r="J134" s="7"/>
      <c r="K134" s="7"/>
      <c r="L134" s="7"/>
    </row>
    <row r="135" spans="1:12" ht="17.25">
      <c r="A135" s="7"/>
      <c r="B135" s="7"/>
      <c r="C135" s="7"/>
      <c r="D135" s="7"/>
      <c r="E135" s="7"/>
      <c r="F135" s="7"/>
      <c r="G135" s="7"/>
      <c r="H135" s="7"/>
      <c r="I135" s="7"/>
      <c r="J135" s="7"/>
      <c r="K135" s="7"/>
      <c r="L135" s="7"/>
    </row>
    <row r="136" spans="1:12" ht="17.25">
      <c r="A136" s="7"/>
      <c r="B136" s="7"/>
      <c r="C136" s="7"/>
      <c r="D136" s="7"/>
      <c r="E136" s="7"/>
      <c r="F136" s="7"/>
      <c r="G136" s="7"/>
      <c r="H136" s="7"/>
      <c r="I136" s="7"/>
      <c r="J136" s="7"/>
      <c r="K136" s="7"/>
      <c r="L136" s="7"/>
    </row>
    <row r="137" spans="1:12" ht="17.25">
      <c r="A137" s="7"/>
      <c r="B137" s="7"/>
      <c r="C137" s="7"/>
      <c r="D137" s="7"/>
      <c r="E137" s="7"/>
      <c r="F137" s="7"/>
      <c r="G137" s="7"/>
      <c r="H137" s="7"/>
      <c r="I137" s="7"/>
      <c r="J137" s="7"/>
      <c r="K137" s="7"/>
      <c r="L137" s="7"/>
    </row>
    <row r="138" spans="1:12" ht="17.25">
      <c r="A138" s="7"/>
      <c r="B138" s="7"/>
      <c r="C138" s="7"/>
      <c r="D138" s="7"/>
      <c r="E138" s="7"/>
      <c r="F138" s="7"/>
      <c r="G138" s="7"/>
      <c r="H138" s="7"/>
      <c r="I138" s="7"/>
      <c r="J138" s="7"/>
      <c r="K138" s="7"/>
      <c r="L138" s="7"/>
    </row>
    <row r="139" spans="1:12" ht="17.25">
      <c r="A139" s="7"/>
      <c r="B139" s="7"/>
      <c r="C139" s="7"/>
      <c r="D139" s="7"/>
      <c r="E139" s="7"/>
      <c r="F139" s="7"/>
      <c r="G139" s="7"/>
      <c r="H139" s="7"/>
      <c r="I139" s="7"/>
      <c r="J139" s="7"/>
      <c r="K139" s="7"/>
      <c r="L139" s="7"/>
    </row>
    <row r="140" spans="1:12" ht="17.25">
      <c r="A140" s="7"/>
      <c r="B140" s="7"/>
      <c r="C140" s="7"/>
      <c r="D140" s="7"/>
      <c r="E140" s="7"/>
      <c r="F140" s="7"/>
      <c r="G140" s="7"/>
      <c r="H140" s="7"/>
      <c r="I140" s="7"/>
      <c r="J140" s="7"/>
      <c r="K140" s="7"/>
      <c r="L140" s="7"/>
    </row>
    <row r="141" spans="1:12" ht="17.25">
      <c r="A141" s="7"/>
      <c r="B141" s="7"/>
      <c r="C141" s="7"/>
      <c r="D141" s="7"/>
      <c r="E141" s="7"/>
      <c r="F141" s="7"/>
      <c r="G141" s="7"/>
      <c r="H141" s="7"/>
      <c r="I141" s="7"/>
      <c r="J141" s="7"/>
      <c r="K141" s="7"/>
      <c r="L141" s="7"/>
    </row>
    <row r="142" spans="1:12" ht="17.25">
      <c r="A142" s="7"/>
      <c r="B142" s="7"/>
      <c r="C142" s="7"/>
      <c r="D142" s="7"/>
      <c r="E142" s="7"/>
      <c r="F142" s="7"/>
      <c r="G142" s="7"/>
      <c r="H142" s="7"/>
      <c r="I142" s="7"/>
      <c r="J142" s="7"/>
      <c r="K142" s="7"/>
      <c r="L142" s="7"/>
    </row>
    <row r="143" spans="1:12" ht="17.25">
      <c r="A143" s="7"/>
      <c r="B143" s="7"/>
      <c r="C143" s="7"/>
      <c r="D143" s="7"/>
      <c r="E143" s="7"/>
      <c r="F143" s="7"/>
      <c r="G143" s="7"/>
      <c r="H143" s="7"/>
      <c r="I143" s="7"/>
      <c r="J143" s="7"/>
      <c r="K143" s="7"/>
      <c r="L143" s="7"/>
    </row>
    <row r="144" spans="1:12" ht="17.25">
      <c r="A144" s="7"/>
      <c r="B144" s="7"/>
      <c r="C144" s="7"/>
      <c r="D144" s="7"/>
      <c r="E144" s="7"/>
      <c r="F144" s="7"/>
      <c r="G144" s="7"/>
      <c r="H144" s="7"/>
      <c r="I144" s="7"/>
      <c r="J144" s="7"/>
      <c r="K144" s="7"/>
      <c r="L144" s="7"/>
    </row>
    <row r="145" spans="1:12" ht="17.25">
      <c r="A145" s="7"/>
      <c r="B145" s="7"/>
      <c r="C145" s="7"/>
      <c r="D145" s="7"/>
      <c r="E145" s="7"/>
      <c r="F145" s="7"/>
      <c r="G145" s="7"/>
      <c r="H145" s="7"/>
      <c r="I145" s="7"/>
      <c r="J145" s="7"/>
      <c r="K145" s="7"/>
      <c r="L145" s="7"/>
    </row>
    <row r="146" spans="1:12" ht="17.25">
      <c r="A146" s="7"/>
      <c r="B146" s="7"/>
      <c r="C146" s="7"/>
      <c r="D146" s="7"/>
      <c r="E146" s="7"/>
      <c r="F146" s="7"/>
      <c r="G146" s="7"/>
      <c r="H146" s="7"/>
      <c r="I146" s="7"/>
      <c r="J146" s="7"/>
      <c r="K146" s="7"/>
      <c r="L146" s="7"/>
    </row>
    <row r="147" spans="1:12" ht="17.25">
      <c r="A147" s="7"/>
      <c r="B147" s="7"/>
      <c r="C147" s="7"/>
      <c r="D147" s="7"/>
      <c r="E147" s="7"/>
      <c r="F147" s="7"/>
      <c r="G147" s="7"/>
      <c r="H147" s="7"/>
      <c r="I147" s="7"/>
      <c r="J147" s="7"/>
      <c r="K147" s="7"/>
      <c r="L147" s="7"/>
    </row>
    <row r="148" spans="1:12" ht="17.25">
      <c r="A148" s="7"/>
      <c r="B148" s="7"/>
      <c r="C148" s="7"/>
      <c r="D148" s="7"/>
      <c r="E148" s="7"/>
      <c r="F148" s="7"/>
      <c r="G148" s="7"/>
      <c r="H148" s="7"/>
      <c r="I148" s="7"/>
      <c r="J148" s="7"/>
      <c r="K148" s="7"/>
      <c r="L148" s="7"/>
    </row>
    <row r="149" spans="1:12" ht="17.25">
      <c r="A149" s="7"/>
      <c r="B149" s="7"/>
      <c r="C149" s="7"/>
      <c r="D149" s="7"/>
      <c r="E149" s="7"/>
      <c r="F149" s="7"/>
      <c r="G149" s="7"/>
      <c r="H149" s="7"/>
      <c r="I149" s="7"/>
      <c r="J149" s="7"/>
      <c r="K149" s="7"/>
      <c r="L149" s="7"/>
    </row>
    <row r="150" spans="1:12" ht="17.25">
      <c r="A150" s="7"/>
      <c r="B150" s="7"/>
      <c r="C150" s="7"/>
      <c r="D150" s="7"/>
      <c r="E150" s="7"/>
      <c r="F150" s="7"/>
      <c r="G150" s="7"/>
      <c r="H150" s="7"/>
      <c r="I150" s="7"/>
      <c r="J150" s="7"/>
      <c r="K150" s="7"/>
      <c r="L150" s="7"/>
    </row>
    <row r="151" spans="1:12" ht="17.25">
      <c r="A151" s="7"/>
      <c r="B151" s="7"/>
      <c r="C151" s="7"/>
      <c r="D151" s="7"/>
      <c r="E151" s="7"/>
      <c r="F151" s="7"/>
      <c r="G151" s="7"/>
      <c r="H151" s="7"/>
      <c r="I151" s="7"/>
      <c r="J151" s="7"/>
      <c r="K151" s="7"/>
      <c r="L151" s="7"/>
    </row>
    <row r="152" spans="1:12" ht="17.25">
      <c r="A152" s="7"/>
      <c r="B152" s="7"/>
      <c r="C152" s="7"/>
      <c r="D152" s="7"/>
      <c r="E152" s="7"/>
      <c r="F152" s="7"/>
      <c r="G152" s="7"/>
      <c r="H152" s="7"/>
      <c r="I152" s="7"/>
      <c r="J152" s="7"/>
      <c r="K152" s="7"/>
      <c r="L152" s="7"/>
    </row>
    <row r="153" spans="1:12" ht="17.25">
      <c r="A153" s="7"/>
      <c r="B153" s="7"/>
      <c r="C153" s="7"/>
      <c r="D153" s="7"/>
      <c r="E153" s="7"/>
      <c r="F153" s="7"/>
      <c r="G153" s="7"/>
      <c r="H153" s="7"/>
      <c r="I153" s="7"/>
      <c r="J153" s="7"/>
      <c r="K153" s="7"/>
      <c r="L153" s="7"/>
    </row>
    <row r="154" spans="1:12" ht="17.25">
      <c r="A154" s="7"/>
      <c r="B154" s="7"/>
      <c r="C154" s="7"/>
      <c r="D154" s="7"/>
      <c r="E154" s="7"/>
      <c r="F154" s="7"/>
      <c r="G154" s="7"/>
      <c r="H154" s="7"/>
      <c r="I154" s="7"/>
      <c r="J154" s="7"/>
      <c r="K154" s="7"/>
      <c r="L154" s="7"/>
    </row>
    <row r="155" spans="1:12" ht="17.25">
      <c r="A155" s="7"/>
      <c r="B155" s="7"/>
      <c r="C155" s="7"/>
      <c r="D155" s="7"/>
      <c r="E155" s="7"/>
      <c r="F155" s="7"/>
      <c r="G155" s="7"/>
      <c r="H155" s="7"/>
      <c r="I155" s="7"/>
      <c r="J155" s="7"/>
      <c r="K155" s="7"/>
      <c r="L155" s="7"/>
    </row>
    <row r="156" spans="1:12" ht="17.25">
      <c r="A156" s="7"/>
      <c r="B156" s="7"/>
      <c r="C156" s="7"/>
      <c r="D156" s="7"/>
      <c r="E156" s="7"/>
      <c r="F156" s="7"/>
      <c r="G156" s="7"/>
      <c r="H156" s="7"/>
      <c r="I156" s="7"/>
      <c r="J156" s="7"/>
      <c r="K156" s="7"/>
      <c r="L156" s="7"/>
    </row>
    <row r="157" spans="1:12" ht="17.25">
      <c r="A157" s="7"/>
      <c r="B157" s="7"/>
      <c r="C157" s="7"/>
      <c r="D157" s="7"/>
      <c r="E157" s="7"/>
      <c r="F157" s="7"/>
      <c r="G157" s="7"/>
      <c r="H157" s="7"/>
      <c r="I157" s="7"/>
      <c r="J157" s="7"/>
      <c r="K157" s="7"/>
      <c r="L157" s="7"/>
    </row>
    <row r="158" spans="1:12" ht="17.25">
      <c r="A158" s="7"/>
      <c r="B158" s="7"/>
      <c r="C158" s="7"/>
      <c r="D158" s="7"/>
      <c r="E158" s="7"/>
      <c r="F158" s="7"/>
      <c r="G158" s="7"/>
      <c r="H158" s="7"/>
      <c r="I158" s="7"/>
      <c r="J158" s="7"/>
      <c r="K158" s="7"/>
      <c r="L158" s="7"/>
    </row>
    <row r="159" spans="1:12" ht="17.25">
      <c r="A159" s="7"/>
      <c r="B159" s="7"/>
      <c r="C159" s="7"/>
      <c r="D159" s="7"/>
      <c r="E159" s="7"/>
      <c r="F159" s="7"/>
      <c r="G159" s="7"/>
      <c r="H159" s="7"/>
      <c r="I159" s="7"/>
      <c r="J159" s="7"/>
      <c r="K159" s="7"/>
      <c r="L159" s="7"/>
    </row>
    <row r="160" spans="1:12" ht="17.25">
      <c r="A160" s="7"/>
      <c r="B160" s="7"/>
      <c r="C160" s="7"/>
      <c r="D160" s="7"/>
      <c r="E160" s="7"/>
      <c r="F160" s="7"/>
      <c r="G160" s="7"/>
      <c r="H160" s="7"/>
      <c r="I160" s="7"/>
      <c r="J160" s="7"/>
      <c r="K160" s="7"/>
      <c r="L160" s="7"/>
    </row>
    <row r="161" spans="1:12" ht="17.25">
      <c r="A161" s="7"/>
      <c r="B161" s="7"/>
      <c r="C161" s="7"/>
      <c r="D161" s="7"/>
      <c r="E161" s="7"/>
      <c r="F161" s="7"/>
      <c r="G161" s="7"/>
      <c r="H161" s="7"/>
      <c r="I161" s="7"/>
      <c r="J161" s="7"/>
      <c r="K161" s="7"/>
      <c r="L161" s="7"/>
    </row>
    <row r="162" spans="1:12" ht="17.25">
      <c r="A162" s="7"/>
      <c r="B162" s="7"/>
      <c r="C162" s="7"/>
      <c r="D162" s="7"/>
      <c r="E162" s="7"/>
      <c r="F162" s="7"/>
      <c r="G162" s="7"/>
      <c r="H162" s="7"/>
      <c r="I162" s="7"/>
      <c r="J162" s="7"/>
      <c r="K162" s="7"/>
      <c r="L162" s="7"/>
    </row>
    <row r="163" spans="1:12" ht="17.25">
      <c r="A163" s="7"/>
      <c r="B163" s="7"/>
      <c r="C163" s="7"/>
      <c r="D163" s="7"/>
      <c r="E163" s="7"/>
      <c r="F163" s="7"/>
      <c r="G163" s="7"/>
      <c r="H163" s="7"/>
      <c r="I163" s="7"/>
      <c r="J163" s="7"/>
      <c r="K163" s="7"/>
      <c r="L163" s="7"/>
    </row>
    <row r="164" spans="1:12" ht="17.25">
      <c r="A164" s="7"/>
      <c r="B164" s="7"/>
      <c r="C164" s="7"/>
      <c r="D164" s="7"/>
      <c r="E164" s="7"/>
      <c r="F164" s="7"/>
      <c r="G164" s="7"/>
      <c r="H164" s="7"/>
      <c r="I164" s="7"/>
      <c r="J164" s="7"/>
      <c r="K164" s="7"/>
      <c r="L164" s="7"/>
    </row>
    <row r="165" spans="1:12" ht="17.25">
      <c r="A165" s="7"/>
      <c r="B165" s="7"/>
      <c r="C165" s="7"/>
      <c r="D165" s="7"/>
      <c r="E165" s="7"/>
      <c r="F165" s="7"/>
      <c r="G165" s="7"/>
      <c r="H165" s="7"/>
      <c r="I165" s="7"/>
      <c r="J165" s="7"/>
      <c r="K165" s="7"/>
      <c r="L165" s="7"/>
    </row>
    <row r="166" spans="1:12" ht="17.25">
      <c r="A166" s="7"/>
      <c r="B166" s="7"/>
      <c r="C166" s="7"/>
      <c r="D166" s="7"/>
      <c r="E166" s="7"/>
      <c r="F166" s="7"/>
      <c r="G166" s="7"/>
      <c r="H166" s="7"/>
      <c r="I166" s="7"/>
      <c r="J166" s="7"/>
      <c r="K166" s="7"/>
      <c r="L166" s="7"/>
    </row>
    <row r="167" spans="1:12" ht="17.25">
      <c r="A167" s="7"/>
      <c r="B167" s="7"/>
      <c r="C167" s="7"/>
      <c r="D167" s="7"/>
      <c r="E167" s="7"/>
      <c r="F167" s="7"/>
      <c r="G167" s="7"/>
      <c r="H167" s="7"/>
      <c r="I167" s="7"/>
      <c r="J167" s="7"/>
      <c r="K167" s="7"/>
      <c r="L167" s="7"/>
    </row>
    <row r="168" spans="1:12" ht="17.25">
      <c r="A168" s="7"/>
      <c r="B168" s="7"/>
      <c r="C168" s="7"/>
      <c r="D168" s="7"/>
      <c r="E168" s="7"/>
      <c r="F168" s="7"/>
      <c r="G168" s="7"/>
      <c r="H168" s="7"/>
      <c r="I168" s="7"/>
      <c r="J168" s="7"/>
      <c r="K168" s="7"/>
      <c r="L168" s="7"/>
    </row>
    <row r="169" spans="1:12" ht="17.25">
      <c r="A169" s="7"/>
      <c r="B169" s="7"/>
      <c r="C169" s="7"/>
      <c r="D169" s="7"/>
      <c r="E169" s="7"/>
      <c r="F169" s="7"/>
      <c r="G169" s="7"/>
      <c r="H169" s="7"/>
      <c r="I169" s="7"/>
      <c r="J169" s="7"/>
      <c r="K169" s="7"/>
      <c r="L169" s="7"/>
    </row>
    <row r="170" spans="1:12" ht="17.25">
      <c r="A170" s="7"/>
      <c r="B170" s="7"/>
      <c r="C170" s="7"/>
      <c r="D170" s="7"/>
      <c r="E170" s="7"/>
      <c r="F170" s="7"/>
      <c r="G170" s="7"/>
      <c r="H170" s="7"/>
      <c r="I170" s="7"/>
      <c r="J170" s="7"/>
      <c r="K170" s="7"/>
      <c r="L170" s="7"/>
    </row>
    <row r="171" spans="1:12" ht="17.25">
      <c r="A171" s="7"/>
      <c r="B171" s="7"/>
      <c r="C171" s="7"/>
      <c r="D171" s="7"/>
      <c r="E171" s="7"/>
      <c r="F171" s="7"/>
      <c r="G171" s="7"/>
      <c r="H171" s="7"/>
      <c r="I171" s="7"/>
      <c r="J171" s="7"/>
      <c r="K171" s="7"/>
      <c r="L171" s="7"/>
    </row>
    <row r="172" spans="1:12" ht="17.25">
      <c r="A172" s="7"/>
      <c r="B172" s="7"/>
      <c r="C172" s="7"/>
      <c r="D172" s="7"/>
      <c r="E172" s="7"/>
      <c r="F172" s="7"/>
      <c r="G172" s="7"/>
      <c r="H172" s="7"/>
      <c r="I172" s="7"/>
      <c r="J172" s="7"/>
      <c r="K172" s="7"/>
      <c r="L172" s="7"/>
    </row>
    <row r="173" spans="1:12" ht="17.25">
      <c r="A173" s="7"/>
      <c r="B173" s="7"/>
      <c r="C173" s="7"/>
      <c r="D173" s="7"/>
      <c r="E173" s="7"/>
      <c r="F173" s="7"/>
      <c r="G173" s="7"/>
      <c r="H173" s="7"/>
      <c r="I173" s="7"/>
      <c r="J173" s="7"/>
      <c r="K173" s="7"/>
      <c r="L173" s="7"/>
    </row>
    <row r="174" spans="1:12" ht="17.25">
      <c r="A174" s="7"/>
      <c r="B174" s="7"/>
      <c r="C174" s="7"/>
      <c r="D174" s="7"/>
      <c r="E174" s="7"/>
      <c r="F174" s="7"/>
      <c r="G174" s="7"/>
      <c r="H174" s="7"/>
      <c r="I174" s="7"/>
      <c r="J174" s="7"/>
      <c r="K174" s="7"/>
      <c r="L174" s="7"/>
    </row>
    <row r="175" spans="1:12" ht="17.25">
      <c r="A175" s="7"/>
      <c r="B175" s="7"/>
      <c r="C175" s="7"/>
      <c r="D175" s="7"/>
      <c r="E175" s="7"/>
      <c r="F175" s="7"/>
      <c r="G175" s="7"/>
      <c r="H175" s="7"/>
      <c r="I175" s="7"/>
      <c r="J175" s="7"/>
      <c r="K175" s="7"/>
      <c r="L175" s="7"/>
    </row>
    <row r="176" spans="1:12" ht="17.25">
      <c r="A176" s="7"/>
      <c r="B176" s="7"/>
      <c r="C176" s="7"/>
      <c r="D176" s="7"/>
      <c r="E176" s="7"/>
      <c r="F176" s="7"/>
      <c r="G176" s="7"/>
      <c r="H176" s="7"/>
      <c r="I176" s="7"/>
      <c r="J176" s="7"/>
      <c r="K176" s="7"/>
      <c r="L176" s="7"/>
    </row>
    <row r="177" spans="1:12" ht="17.25">
      <c r="A177" s="7"/>
      <c r="B177" s="7"/>
      <c r="C177" s="7"/>
      <c r="D177" s="7"/>
      <c r="E177" s="7"/>
      <c r="F177" s="7"/>
      <c r="G177" s="7"/>
      <c r="H177" s="7"/>
      <c r="I177" s="7"/>
      <c r="J177" s="7"/>
      <c r="K177" s="7"/>
      <c r="L177" s="7"/>
    </row>
    <row r="178" spans="1:12" ht="17.25">
      <c r="A178" s="7"/>
      <c r="B178" s="7"/>
      <c r="C178" s="7"/>
      <c r="D178" s="7"/>
      <c r="E178" s="7"/>
      <c r="F178" s="7"/>
      <c r="G178" s="7"/>
      <c r="H178" s="7"/>
      <c r="I178" s="7"/>
      <c r="J178" s="7"/>
      <c r="K178" s="7"/>
      <c r="L178" s="7"/>
    </row>
    <row r="179" spans="1:12" ht="17.25">
      <c r="A179" s="7"/>
      <c r="B179" s="7"/>
      <c r="C179" s="7"/>
      <c r="D179" s="7"/>
      <c r="E179" s="7"/>
      <c r="F179" s="7"/>
      <c r="G179" s="7"/>
      <c r="H179" s="7"/>
      <c r="I179" s="7"/>
      <c r="J179" s="7"/>
      <c r="K179" s="7"/>
      <c r="L179" s="7"/>
    </row>
    <row r="180" spans="1:12" ht="17.25">
      <c r="A180" s="7"/>
      <c r="B180" s="7"/>
      <c r="C180" s="7"/>
      <c r="D180" s="7"/>
      <c r="E180" s="7"/>
      <c r="F180" s="7"/>
      <c r="G180" s="7"/>
      <c r="H180" s="7"/>
      <c r="I180" s="7"/>
      <c r="J180" s="7"/>
      <c r="K180" s="7"/>
      <c r="L180" s="7"/>
    </row>
    <row r="181" spans="1:12" ht="17.25">
      <c r="A181" s="7"/>
      <c r="B181" s="7"/>
      <c r="C181" s="7"/>
      <c r="D181" s="7"/>
      <c r="E181" s="7"/>
      <c r="F181" s="7"/>
      <c r="G181" s="7"/>
      <c r="H181" s="7"/>
      <c r="I181" s="7"/>
      <c r="J181" s="7"/>
      <c r="K181" s="7"/>
      <c r="L181" s="7"/>
    </row>
    <row r="182" spans="1:12" ht="17.25">
      <c r="A182" s="7"/>
      <c r="B182" s="7"/>
      <c r="C182" s="7"/>
      <c r="D182" s="7"/>
      <c r="E182" s="7"/>
      <c r="F182" s="7"/>
      <c r="G182" s="7"/>
      <c r="H182" s="7"/>
      <c r="I182" s="7"/>
      <c r="J182" s="7"/>
      <c r="K182" s="7"/>
      <c r="L182" s="7"/>
    </row>
    <row r="183" spans="1:12" ht="17.25">
      <c r="A183" s="7"/>
      <c r="B183" s="7"/>
      <c r="C183" s="7"/>
      <c r="D183" s="7"/>
      <c r="E183" s="7"/>
      <c r="F183" s="7"/>
      <c r="G183" s="7"/>
      <c r="H183" s="7"/>
      <c r="I183" s="7"/>
      <c r="J183" s="7"/>
      <c r="K183" s="7"/>
      <c r="L183" s="7"/>
    </row>
    <row r="184" spans="1:12" ht="17.25">
      <c r="A184" s="7"/>
      <c r="B184" s="7"/>
      <c r="C184" s="7"/>
      <c r="D184" s="7"/>
      <c r="E184" s="7"/>
      <c r="F184" s="7"/>
      <c r="G184" s="7"/>
      <c r="H184" s="7"/>
      <c r="I184" s="7"/>
      <c r="J184" s="7"/>
      <c r="K184" s="7"/>
      <c r="L184" s="7"/>
    </row>
    <row r="185" spans="1:12" ht="17.25">
      <c r="A185" s="7"/>
      <c r="B185" s="7"/>
      <c r="C185" s="7"/>
      <c r="D185" s="7"/>
      <c r="E185" s="7"/>
      <c r="F185" s="7"/>
      <c r="G185" s="7"/>
      <c r="H185" s="7"/>
      <c r="I185" s="7"/>
      <c r="J185" s="7"/>
      <c r="K185" s="7"/>
      <c r="L185" s="7"/>
    </row>
    <row r="186" spans="1:12" ht="17.25">
      <c r="A186" s="7"/>
      <c r="B186" s="7"/>
      <c r="C186" s="7"/>
      <c r="D186" s="7"/>
      <c r="E186" s="7"/>
      <c r="F186" s="7"/>
      <c r="G186" s="7"/>
      <c r="H186" s="7"/>
      <c r="I186" s="7"/>
      <c r="J186" s="7"/>
      <c r="K186" s="7"/>
      <c r="L186" s="7"/>
    </row>
    <row r="187" spans="1:12" ht="17.25">
      <c r="A187" s="7"/>
      <c r="B187" s="7"/>
      <c r="C187" s="7"/>
      <c r="D187" s="7"/>
      <c r="E187" s="7"/>
      <c r="F187" s="7"/>
      <c r="G187" s="7"/>
      <c r="H187" s="7"/>
      <c r="I187" s="7"/>
      <c r="J187" s="7"/>
      <c r="K187" s="7"/>
      <c r="L187" s="7"/>
    </row>
    <row r="188" spans="1:12" ht="17.25">
      <c r="A188" s="7"/>
      <c r="B188" s="7"/>
      <c r="C188" s="7"/>
      <c r="D188" s="7"/>
      <c r="E188" s="7"/>
      <c r="F188" s="7"/>
      <c r="G188" s="7"/>
      <c r="H188" s="7"/>
      <c r="I188" s="7"/>
      <c r="J188" s="7"/>
      <c r="K188" s="7"/>
      <c r="L188" s="7"/>
    </row>
    <row r="189" spans="1:12" ht="17.25">
      <c r="A189" s="7"/>
      <c r="B189" s="7"/>
      <c r="C189" s="7"/>
      <c r="D189" s="7"/>
      <c r="E189" s="7"/>
      <c r="F189" s="7"/>
      <c r="G189" s="7"/>
      <c r="H189" s="7"/>
      <c r="I189" s="7"/>
      <c r="J189" s="7"/>
      <c r="K189" s="7"/>
      <c r="L189" s="7"/>
    </row>
    <row r="190" spans="1:12" ht="17.25">
      <c r="A190" s="7"/>
      <c r="B190" s="7"/>
      <c r="C190" s="7"/>
      <c r="D190" s="7"/>
      <c r="E190" s="7"/>
      <c r="F190" s="7"/>
      <c r="G190" s="7"/>
      <c r="H190" s="7"/>
      <c r="I190" s="7"/>
      <c r="J190" s="7"/>
      <c r="K190" s="7"/>
      <c r="L190" s="7"/>
    </row>
    <row r="191" spans="1:12" ht="17.25">
      <c r="A191" s="7"/>
      <c r="B191" s="7"/>
      <c r="C191" s="7"/>
      <c r="D191" s="7"/>
      <c r="E191" s="7"/>
      <c r="F191" s="7"/>
      <c r="G191" s="7"/>
      <c r="H191" s="7"/>
      <c r="I191" s="7"/>
      <c r="J191" s="7"/>
      <c r="K191" s="7"/>
      <c r="L191" s="7"/>
    </row>
    <row r="192" spans="1:12" ht="17.25">
      <c r="A192" s="7"/>
      <c r="B192" s="7"/>
      <c r="C192" s="7"/>
      <c r="D192" s="7"/>
      <c r="E192" s="7"/>
      <c r="F192" s="7"/>
      <c r="G192" s="7"/>
      <c r="H192" s="7"/>
      <c r="I192" s="7"/>
      <c r="J192" s="7"/>
      <c r="K192" s="7"/>
      <c r="L192" s="7"/>
    </row>
    <row r="193" spans="1:12" ht="17.25">
      <c r="A193" s="7"/>
      <c r="B193" s="7"/>
      <c r="C193" s="7"/>
      <c r="D193" s="7"/>
      <c r="E193" s="7"/>
      <c r="F193" s="7"/>
      <c r="G193" s="7"/>
      <c r="H193" s="7"/>
      <c r="I193" s="7"/>
      <c r="J193" s="7"/>
      <c r="K193" s="7"/>
      <c r="L193" s="7"/>
    </row>
    <row r="194" spans="1:12" ht="17.25">
      <c r="A194" s="7"/>
      <c r="B194" s="7"/>
      <c r="C194" s="7"/>
      <c r="D194" s="7"/>
      <c r="E194" s="7"/>
      <c r="F194" s="7"/>
      <c r="G194" s="7"/>
      <c r="H194" s="7"/>
      <c r="I194" s="7"/>
      <c r="J194" s="7"/>
      <c r="K194" s="7"/>
      <c r="L194" s="7"/>
    </row>
    <row r="195" spans="1:12" ht="17.25">
      <c r="A195" s="7"/>
      <c r="B195" s="7"/>
      <c r="C195" s="7"/>
      <c r="D195" s="7"/>
      <c r="E195" s="7"/>
      <c r="F195" s="7"/>
      <c r="G195" s="7"/>
      <c r="H195" s="7"/>
      <c r="I195" s="7"/>
      <c r="J195" s="7"/>
      <c r="K195" s="7"/>
      <c r="L195" s="7"/>
    </row>
    <row r="196" spans="1:12" ht="17.25">
      <c r="A196" s="7"/>
      <c r="B196" s="7"/>
      <c r="C196" s="7"/>
      <c r="D196" s="7"/>
      <c r="E196" s="7"/>
      <c r="F196" s="7"/>
      <c r="G196" s="7"/>
      <c r="H196" s="7"/>
      <c r="I196" s="7"/>
      <c r="J196" s="7"/>
      <c r="K196" s="7"/>
      <c r="L196" s="7"/>
    </row>
    <row r="197" spans="1:12" ht="17.25">
      <c r="A197" s="7"/>
      <c r="B197" s="7"/>
      <c r="C197" s="7"/>
      <c r="D197" s="7"/>
      <c r="E197" s="7"/>
      <c r="F197" s="7"/>
      <c r="G197" s="7"/>
      <c r="H197" s="7"/>
      <c r="I197" s="7"/>
      <c r="J197" s="7"/>
      <c r="K197" s="7"/>
      <c r="L197" s="7"/>
    </row>
    <row r="198" spans="1:12" ht="17.25">
      <c r="A198" s="7"/>
      <c r="B198" s="7"/>
      <c r="C198" s="7"/>
      <c r="D198" s="7"/>
      <c r="E198" s="7"/>
      <c r="F198" s="7"/>
      <c r="G198" s="7"/>
      <c r="H198" s="7"/>
      <c r="I198" s="7"/>
      <c r="J198" s="7"/>
      <c r="K198" s="7"/>
      <c r="L198" s="7"/>
    </row>
    <row r="199" spans="1:12" ht="17.25">
      <c r="A199" s="7"/>
      <c r="B199" s="7"/>
      <c r="C199" s="7"/>
      <c r="D199" s="7"/>
      <c r="E199" s="7"/>
      <c r="F199" s="7"/>
      <c r="G199" s="7"/>
      <c r="H199" s="7"/>
      <c r="I199" s="7"/>
      <c r="J199" s="7"/>
      <c r="K199" s="7"/>
      <c r="L199" s="7"/>
    </row>
    <row r="200" spans="1:12" ht="17.25">
      <c r="A200" s="7"/>
      <c r="B200" s="7"/>
      <c r="C200" s="7"/>
      <c r="D200" s="7"/>
      <c r="E200" s="7"/>
      <c r="F200" s="7"/>
      <c r="G200" s="7"/>
      <c r="H200" s="7"/>
      <c r="I200" s="7"/>
      <c r="J200" s="7"/>
      <c r="K200" s="7"/>
      <c r="L200" s="7"/>
    </row>
    <row r="201" spans="1:12" ht="17.25">
      <c r="A201" s="7"/>
      <c r="B201" s="7"/>
      <c r="C201" s="7"/>
      <c r="D201" s="7"/>
      <c r="E201" s="7"/>
      <c r="F201" s="7"/>
      <c r="G201" s="7"/>
      <c r="H201" s="7"/>
      <c r="I201" s="7"/>
      <c r="J201" s="7"/>
      <c r="K201" s="7"/>
      <c r="L201" s="7"/>
    </row>
    <row r="202" spans="1:12" ht="17.25">
      <c r="A202" s="7"/>
      <c r="B202" s="7"/>
      <c r="C202" s="7"/>
      <c r="D202" s="7"/>
      <c r="E202" s="7"/>
      <c r="F202" s="7"/>
      <c r="G202" s="7"/>
      <c r="H202" s="7"/>
      <c r="I202" s="7"/>
      <c r="J202" s="7"/>
      <c r="K202" s="7"/>
      <c r="L202" s="7"/>
    </row>
    <row r="203" spans="1:12" ht="17.25">
      <c r="A203" s="7"/>
      <c r="B203" s="7"/>
      <c r="C203" s="7"/>
      <c r="D203" s="7"/>
      <c r="E203" s="7"/>
      <c r="F203" s="7"/>
      <c r="G203" s="7"/>
      <c r="H203" s="7"/>
      <c r="I203" s="7"/>
      <c r="J203" s="7"/>
      <c r="K203" s="7"/>
      <c r="L203" s="7"/>
    </row>
    <row r="204" spans="1:12" ht="17.25">
      <c r="A204" s="7"/>
      <c r="B204" s="7"/>
      <c r="C204" s="7"/>
      <c r="D204" s="7"/>
      <c r="E204" s="7"/>
      <c r="F204" s="7"/>
      <c r="G204" s="7"/>
      <c r="H204" s="7"/>
      <c r="I204" s="7"/>
      <c r="J204" s="7"/>
      <c r="K204" s="7"/>
      <c r="L204" s="7"/>
    </row>
    <row r="205" spans="1:12" ht="17.25">
      <c r="A205" s="7"/>
      <c r="B205" s="7"/>
      <c r="C205" s="7"/>
      <c r="D205" s="7"/>
      <c r="E205" s="7"/>
      <c r="F205" s="7"/>
      <c r="G205" s="7"/>
      <c r="H205" s="7"/>
      <c r="I205" s="7"/>
      <c r="J205" s="7"/>
      <c r="K205" s="7"/>
      <c r="L205" s="7"/>
    </row>
    <row r="206" spans="1:12" ht="17.25">
      <c r="A206" s="7"/>
      <c r="B206" s="7"/>
      <c r="C206" s="7"/>
      <c r="D206" s="7"/>
      <c r="E206" s="7"/>
      <c r="F206" s="7"/>
      <c r="G206" s="7"/>
      <c r="H206" s="7"/>
      <c r="I206" s="7"/>
      <c r="J206" s="7"/>
      <c r="K206" s="7"/>
      <c r="L206" s="7"/>
    </row>
    <row r="207" spans="1:12" ht="17.25">
      <c r="A207" s="7"/>
      <c r="B207" s="7"/>
      <c r="C207" s="7"/>
      <c r="D207" s="7"/>
      <c r="E207" s="7"/>
      <c r="F207" s="7"/>
      <c r="G207" s="7"/>
      <c r="H207" s="7"/>
      <c r="I207" s="7"/>
      <c r="J207" s="7"/>
      <c r="K207" s="7"/>
      <c r="L207" s="7"/>
    </row>
    <row r="208" spans="1:12" ht="17.25">
      <c r="A208" s="7"/>
      <c r="B208" s="7"/>
      <c r="C208" s="7"/>
      <c r="D208" s="7"/>
      <c r="E208" s="7"/>
      <c r="F208" s="7"/>
      <c r="G208" s="7"/>
      <c r="H208" s="7"/>
      <c r="I208" s="7"/>
      <c r="J208" s="7"/>
      <c r="K208" s="7"/>
      <c r="L208" s="7"/>
    </row>
    <row r="209" spans="1:12" ht="17.25">
      <c r="A209" s="7"/>
      <c r="B209" s="7"/>
      <c r="C209" s="7"/>
      <c r="D209" s="7"/>
      <c r="E209" s="7"/>
      <c r="F209" s="7"/>
      <c r="G209" s="7"/>
      <c r="H209" s="7"/>
      <c r="I209" s="7"/>
      <c r="J209" s="7"/>
      <c r="K209" s="7"/>
      <c r="L209" s="7"/>
    </row>
    <row r="210" spans="1:12" ht="17.25">
      <c r="A210" s="7"/>
      <c r="B210" s="7"/>
      <c r="C210" s="7"/>
      <c r="D210" s="7"/>
      <c r="E210" s="7"/>
      <c r="F210" s="7"/>
      <c r="G210" s="7"/>
      <c r="H210" s="7"/>
      <c r="I210" s="7"/>
      <c r="J210" s="7"/>
      <c r="K210" s="7"/>
      <c r="L210" s="7"/>
    </row>
    <row r="211" spans="1:12" ht="17.25">
      <c r="A211" s="7"/>
      <c r="B211" s="7"/>
      <c r="C211" s="7"/>
      <c r="D211" s="7"/>
      <c r="E211" s="7"/>
      <c r="F211" s="7"/>
      <c r="G211" s="7"/>
      <c r="H211" s="7"/>
      <c r="I211" s="7"/>
      <c r="J211" s="7"/>
      <c r="K211" s="7"/>
      <c r="L211" s="7"/>
    </row>
    <row r="212" spans="1:12" ht="17.25">
      <c r="A212" s="7"/>
      <c r="B212" s="7"/>
      <c r="C212" s="7"/>
      <c r="D212" s="7"/>
      <c r="E212" s="7"/>
      <c r="F212" s="7"/>
      <c r="G212" s="7"/>
      <c r="H212" s="7"/>
      <c r="I212" s="7"/>
      <c r="J212" s="7"/>
      <c r="K212" s="7"/>
      <c r="L212" s="7"/>
    </row>
    <row r="213" spans="1:12" ht="17.25">
      <c r="A213" s="7"/>
      <c r="B213" s="7"/>
      <c r="C213" s="7"/>
      <c r="D213" s="7"/>
      <c r="E213" s="7"/>
      <c r="F213" s="7"/>
      <c r="G213" s="7"/>
      <c r="H213" s="7"/>
      <c r="I213" s="7"/>
      <c r="J213" s="7"/>
      <c r="K213" s="7"/>
      <c r="L213" s="7"/>
    </row>
    <row r="214" spans="1:12" ht="17.25">
      <c r="A214" s="7"/>
      <c r="B214" s="7"/>
      <c r="C214" s="7"/>
      <c r="D214" s="7"/>
      <c r="E214" s="7"/>
      <c r="F214" s="7"/>
      <c r="G214" s="7"/>
      <c r="H214" s="7"/>
      <c r="I214" s="7"/>
      <c r="J214" s="7"/>
      <c r="K214" s="7"/>
      <c r="L214" s="7"/>
    </row>
    <row r="215" spans="1:12" ht="17.25">
      <c r="A215" s="7"/>
      <c r="B215" s="7"/>
      <c r="C215" s="7"/>
      <c r="D215" s="7"/>
      <c r="E215" s="7"/>
      <c r="F215" s="7"/>
      <c r="G215" s="7"/>
      <c r="H215" s="7"/>
      <c r="I215" s="7"/>
      <c r="J215" s="7"/>
      <c r="K215" s="7"/>
      <c r="L215" s="7"/>
    </row>
    <row r="216" spans="1:12" ht="17.25">
      <c r="A216" s="7"/>
      <c r="B216" s="7"/>
      <c r="C216" s="7"/>
      <c r="D216" s="7"/>
      <c r="E216" s="7"/>
      <c r="F216" s="7"/>
      <c r="G216" s="7"/>
      <c r="H216" s="7"/>
      <c r="I216" s="7"/>
      <c r="J216" s="7"/>
      <c r="K216" s="7"/>
      <c r="L216" s="7"/>
    </row>
    <row r="217" spans="1:12" ht="17.25">
      <c r="A217" s="7"/>
      <c r="B217" s="7"/>
      <c r="C217" s="7"/>
      <c r="D217" s="7"/>
      <c r="E217" s="7"/>
      <c r="F217" s="7"/>
      <c r="G217" s="7"/>
      <c r="H217" s="7"/>
      <c r="I217" s="7"/>
      <c r="J217" s="7"/>
      <c r="K217" s="7"/>
      <c r="L217" s="7"/>
    </row>
    <row r="218" spans="1:12" ht="17.25">
      <c r="A218" s="7"/>
      <c r="B218" s="7"/>
      <c r="C218" s="7"/>
      <c r="D218" s="7"/>
      <c r="E218" s="7"/>
      <c r="F218" s="7"/>
      <c r="G218" s="7"/>
      <c r="H218" s="7"/>
      <c r="I218" s="7"/>
      <c r="J218" s="7"/>
      <c r="K218" s="7"/>
      <c r="L218" s="7"/>
    </row>
    <row r="219" spans="1:12" ht="17.25">
      <c r="A219" s="7"/>
      <c r="B219" s="7"/>
      <c r="C219" s="7"/>
      <c r="D219" s="7"/>
      <c r="E219" s="7"/>
      <c r="F219" s="7"/>
      <c r="G219" s="7"/>
      <c r="H219" s="7"/>
      <c r="I219" s="7"/>
      <c r="J219" s="7"/>
      <c r="K219" s="7"/>
      <c r="L219" s="7"/>
    </row>
    <row r="220" spans="1:12" ht="17.25">
      <c r="A220" s="7"/>
      <c r="B220" s="7"/>
      <c r="C220" s="7"/>
      <c r="D220" s="7"/>
      <c r="E220" s="7"/>
      <c r="F220" s="7"/>
      <c r="G220" s="7"/>
      <c r="H220" s="7"/>
      <c r="I220" s="7"/>
      <c r="J220" s="7"/>
      <c r="K220" s="7"/>
      <c r="L220" s="7"/>
    </row>
    <row r="221" spans="1:12" ht="17.25">
      <c r="A221" s="7"/>
      <c r="B221" s="7"/>
      <c r="C221" s="7"/>
      <c r="D221" s="7"/>
      <c r="E221" s="7"/>
      <c r="F221" s="7"/>
      <c r="G221" s="7"/>
      <c r="H221" s="7"/>
      <c r="I221" s="7"/>
      <c r="J221" s="7"/>
      <c r="K221" s="7"/>
      <c r="L221" s="7"/>
    </row>
    <row r="222" spans="1:12" ht="17.25">
      <c r="A222" s="7"/>
      <c r="B222" s="7"/>
      <c r="C222" s="7"/>
      <c r="D222" s="7"/>
      <c r="E222" s="7"/>
      <c r="F222" s="7"/>
      <c r="G222" s="7"/>
      <c r="H222" s="7"/>
      <c r="I222" s="7"/>
      <c r="J222" s="7"/>
      <c r="K222" s="7"/>
      <c r="L222" s="7"/>
    </row>
    <row r="223" spans="1:12" ht="17.25">
      <c r="A223" s="7"/>
      <c r="B223" s="7"/>
      <c r="C223" s="7"/>
      <c r="D223" s="7"/>
      <c r="E223" s="7"/>
      <c r="F223" s="7"/>
      <c r="G223" s="7"/>
      <c r="H223" s="7"/>
      <c r="I223" s="7"/>
      <c r="J223" s="7"/>
      <c r="K223" s="7"/>
      <c r="L223" s="7"/>
    </row>
    <row r="224" spans="1:12" ht="17.25">
      <c r="A224" s="7"/>
      <c r="B224" s="7"/>
      <c r="C224" s="7"/>
      <c r="D224" s="7"/>
      <c r="E224" s="7"/>
      <c r="F224" s="7"/>
      <c r="G224" s="7"/>
      <c r="H224" s="7"/>
      <c r="I224" s="7"/>
      <c r="J224" s="7"/>
      <c r="K224" s="7"/>
      <c r="L224" s="7"/>
    </row>
    <row r="225" spans="1:12" ht="17.25">
      <c r="A225" s="7"/>
      <c r="B225" s="7"/>
      <c r="C225" s="7"/>
      <c r="D225" s="7"/>
      <c r="E225" s="7"/>
      <c r="F225" s="7"/>
      <c r="G225" s="7"/>
      <c r="H225" s="7"/>
      <c r="I225" s="7"/>
      <c r="J225" s="7"/>
      <c r="K225" s="7"/>
      <c r="L225" s="7"/>
    </row>
    <row r="226" spans="1:12" ht="17.25">
      <c r="A226" s="7"/>
      <c r="B226" s="7"/>
      <c r="C226" s="7"/>
      <c r="D226" s="7"/>
      <c r="E226" s="7"/>
      <c r="F226" s="7"/>
      <c r="G226" s="7"/>
      <c r="H226" s="7"/>
      <c r="I226" s="7"/>
      <c r="J226" s="7"/>
      <c r="K226" s="7"/>
      <c r="L226" s="7"/>
    </row>
    <row r="227" spans="1:12" ht="17.25">
      <c r="A227" s="7"/>
      <c r="B227" s="7"/>
      <c r="C227" s="7"/>
      <c r="D227" s="7"/>
      <c r="E227" s="7"/>
      <c r="F227" s="7"/>
      <c r="G227" s="7"/>
      <c r="H227" s="7"/>
      <c r="I227" s="7"/>
      <c r="J227" s="7"/>
      <c r="K227" s="7"/>
      <c r="L227" s="7"/>
    </row>
    <row r="228" spans="1:12" ht="17.25">
      <c r="A228" s="7"/>
      <c r="B228" s="7"/>
      <c r="C228" s="7"/>
      <c r="D228" s="7"/>
      <c r="E228" s="7"/>
      <c r="F228" s="7"/>
      <c r="G228" s="7"/>
      <c r="H228" s="7"/>
      <c r="I228" s="7"/>
      <c r="J228" s="7"/>
      <c r="K228" s="7"/>
      <c r="L228" s="7"/>
    </row>
    <row r="229" spans="1:12" ht="17.25">
      <c r="A229" s="7"/>
      <c r="B229" s="7"/>
      <c r="C229" s="7"/>
      <c r="D229" s="7"/>
      <c r="E229" s="7"/>
      <c r="F229" s="7"/>
      <c r="G229" s="7"/>
      <c r="H229" s="7"/>
      <c r="I229" s="7"/>
      <c r="J229" s="7"/>
      <c r="K229" s="7"/>
      <c r="L229" s="7"/>
    </row>
    <row r="230" spans="1:12" ht="17.25">
      <c r="A230" s="7"/>
      <c r="B230" s="7"/>
      <c r="C230" s="7"/>
      <c r="D230" s="7"/>
      <c r="E230" s="7"/>
      <c r="F230" s="7"/>
      <c r="G230" s="7"/>
      <c r="H230" s="7"/>
      <c r="I230" s="7"/>
      <c r="J230" s="7"/>
      <c r="K230" s="7"/>
      <c r="L230" s="7"/>
    </row>
    <row r="231" spans="1:12" ht="17.25">
      <c r="A231" s="7"/>
      <c r="B231" s="7"/>
      <c r="C231" s="7"/>
      <c r="D231" s="7"/>
      <c r="E231" s="7"/>
      <c r="F231" s="7"/>
      <c r="G231" s="7"/>
      <c r="H231" s="7"/>
      <c r="I231" s="7"/>
      <c r="J231" s="7"/>
      <c r="K231" s="7"/>
      <c r="L231" s="7"/>
    </row>
    <row r="232" spans="1:12" ht="17.25">
      <c r="A232" s="7"/>
      <c r="B232" s="7"/>
      <c r="C232" s="7"/>
      <c r="D232" s="7"/>
      <c r="E232" s="7"/>
      <c r="F232" s="7"/>
      <c r="G232" s="7"/>
      <c r="H232" s="7"/>
      <c r="I232" s="7"/>
      <c r="J232" s="7"/>
      <c r="K232" s="7"/>
      <c r="L232" s="7"/>
    </row>
    <row r="233" spans="1:12" ht="17.25">
      <c r="A233" s="7"/>
      <c r="B233" s="7"/>
      <c r="C233" s="7"/>
      <c r="D233" s="7"/>
      <c r="E233" s="7"/>
      <c r="F233" s="7"/>
      <c r="G233" s="7"/>
      <c r="H233" s="7"/>
      <c r="I233" s="7"/>
      <c r="J233" s="7"/>
      <c r="K233" s="7"/>
      <c r="L233" s="7"/>
    </row>
    <row r="234" spans="1:12" ht="17.25">
      <c r="A234" s="7"/>
      <c r="B234" s="7"/>
      <c r="C234" s="7"/>
      <c r="D234" s="7"/>
      <c r="E234" s="7"/>
      <c r="F234" s="7"/>
      <c r="G234" s="7"/>
      <c r="H234" s="7"/>
      <c r="I234" s="7"/>
      <c r="J234" s="7"/>
      <c r="K234" s="7"/>
      <c r="L234" s="7"/>
    </row>
    <row r="235" spans="1:12" ht="17.25">
      <c r="A235" s="7"/>
      <c r="B235" s="7"/>
      <c r="C235" s="7"/>
      <c r="D235" s="7"/>
      <c r="E235" s="7"/>
      <c r="F235" s="7"/>
      <c r="G235" s="7"/>
      <c r="H235" s="7"/>
      <c r="I235" s="7"/>
      <c r="J235" s="7"/>
      <c r="K235" s="7"/>
      <c r="L235" s="7"/>
    </row>
    <row r="236" spans="1:12" ht="17.25">
      <c r="A236" s="7"/>
      <c r="B236" s="7"/>
      <c r="C236" s="7"/>
      <c r="D236" s="7"/>
      <c r="E236" s="7"/>
      <c r="F236" s="7"/>
      <c r="G236" s="7"/>
      <c r="H236" s="7"/>
      <c r="I236" s="7"/>
      <c r="J236" s="7"/>
      <c r="K236" s="7"/>
      <c r="L236" s="7"/>
    </row>
    <row r="237" spans="1:12" ht="17.25">
      <c r="A237" s="7"/>
      <c r="B237" s="7"/>
      <c r="C237" s="7"/>
      <c r="D237" s="7"/>
      <c r="E237" s="7"/>
      <c r="F237" s="7"/>
      <c r="G237" s="7"/>
      <c r="H237" s="7"/>
      <c r="I237" s="7"/>
      <c r="J237" s="7"/>
      <c r="K237" s="7"/>
      <c r="L237" s="7"/>
    </row>
    <row r="238" spans="1:12" ht="17.25">
      <c r="A238" s="7"/>
      <c r="B238" s="7"/>
      <c r="C238" s="7"/>
      <c r="D238" s="7"/>
      <c r="E238" s="7"/>
      <c r="F238" s="7"/>
      <c r="G238" s="7"/>
      <c r="H238" s="7"/>
      <c r="I238" s="7"/>
      <c r="J238" s="7"/>
      <c r="K238" s="7"/>
      <c r="L238" s="7"/>
    </row>
    <row r="239" spans="1:12" ht="17.25">
      <c r="A239" s="7"/>
      <c r="B239" s="7"/>
      <c r="C239" s="7"/>
      <c r="D239" s="7"/>
      <c r="E239" s="7"/>
      <c r="F239" s="7"/>
      <c r="G239" s="7"/>
      <c r="H239" s="7"/>
      <c r="I239" s="7"/>
      <c r="J239" s="7"/>
      <c r="K239" s="7"/>
      <c r="L239" s="7"/>
    </row>
    <row r="240" spans="1:12" ht="17.25">
      <c r="A240" s="7"/>
      <c r="B240" s="7"/>
      <c r="C240" s="7"/>
      <c r="D240" s="7"/>
      <c r="E240" s="7"/>
      <c r="F240" s="7"/>
      <c r="G240" s="7"/>
      <c r="H240" s="7"/>
      <c r="I240" s="7"/>
      <c r="J240" s="7"/>
      <c r="K240" s="7"/>
      <c r="L240" s="7"/>
    </row>
    <row r="241" spans="1:12" ht="17.25">
      <c r="A241" s="7"/>
      <c r="B241" s="7"/>
      <c r="C241" s="7"/>
      <c r="D241" s="7"/>
      <c r="E241" s="7"/>
      <c r="F241" s="7"/>
      <c r="G241" s="7"/>
      <c r="H241" s="7"/>
      <c r="I241" s="7"/>
      <c r="J241" s="7"/>
      <c r="K241" s="7"/>
      <c r="L241" s="7"/>
    </row>
    <row r="242" spans="1:12" ht="17.25">
      <c r="A242" s="7"/>
      <c r="B242" s="7"/>
      <c r="C242" s="7"/>
      <c r="D242" s="7"/>
      <c r="E242" s="7"/>
      <c r="F242" s="7"/>
      <c r="G242" s="7"/>
      <c r="H242" s="7"/>
      <c r="I242" s="7"/>
      <c r="J242" s="7"/>
      <c r="K242" s="7"/>
      <c r="L242" s="7"/>
    </row>
    <row r="243" spans="1:12" ht="17.25">
      <c r="A243" s="7"/>
      <c r="B243" s="7"/>
      <c r="C243" s="7"/>
      <c r="D243" s="7"/>
      <c r="E243" s="7"/>
      <c r="F243" s="7"/>
      <c r="G243" s="7"/>
      <c r="H243" s="7"/>
      <c r="I243" s="7"/>
      <c r="J243" s="7"/>
      <c r="K243" s="7"/>
      <c r="L243" s="7"/>
    </row>
    <row r="244" spans="1:12" ht="17.25">
      <c r="A244" s="7"/>
      <c r="B244" s="7"/>
      <c r="C244" s="7"/>
      <c r="D244" s="7"/>
      <c r="E244" s="7"/>
      <c r="F244" s="7"/>
      <c r="G244" s="7"/>
      <c r="H244" s="7"/>
      <c r="I244" s="7"/>
      <c r="J244" s="7"/>
      <c r="K244" s="7"/>
      <c r="L244" s="7"/>
    </row>
    <row r="245" spans="1:12" ht="17.25">
      <c r="A245" s="7"/>
      <c r="B245" s="7"/>
      <c r="C245" s="7"/>
      <c r="D245" s="7"/>
      <c r="E245" s="7"/>
      <c r="F245" s="7"/>
      <c r="G245" s="7"/>
      <c r="H245" s="7"/>
      <c r="I245" s="7"/>
      <c r="J245" s="7"/>
      <c r="K245" s="7"/>
      <c r="L245" s="7"/>
    </row>
    <row r="246" spans="1:12" ht="17.25">
      <c r="A246" s="7"/>
      <c r="B246" s="7"/>
      <c r="C246" s="7"/>
      <c r="D246" s="7"/>
      <c r="E246" s="7"/>
      <c r="F246" s="7"/>
      <c r="G246" s="7"/>
      <c r="H246" s="7"/>
      <c r="I246" s="7"/>
      <c r="J246" s="7"/>
      <c r="K246" s="7"/>
      <c r="L246" s="7"/>
    </row>
    <row r="247" spans="1:12" ht="17.25">
      <c r="A247" s="7"/>
      <c r="B247" s="7"/>
      <c r="C247" s="7"/>
      <c r="D247" s="7"/>
      <c r="E247" s="7"/>
      <c r="F247" s="7"/>
      <c r="G247" s="7"/>
      <c r="H247" s="7"/>
      <c r="I247" s="7"/>
      <c r="J247" s="7"/>
      <c r="K247" s="7"/>
      <c r="L247" s="7"/>
    </row>
    <row r="248" spans="1:12" ht="17.25">
      <c r="A248" s="7"/>
      <c r="B248" s="7"/>
      <c r="C248" s="7"/>
      <c r="D248" s="7"/>
      <c r="E248" s="7"/>
      <c r="F248" s="7"/>
      <c r="G248" s="7"/>
      <c r="H248" s="7"/>
      <c r="I248" s="7"/>
      <c r="J248" s="7"/>
      <c r="K248" s="7"/>
      <c r="L248" s="7"/>
    </row>
    <row r="249" spans="1:12" ht="17.25">
      <c r="A249" s="7"/>
      <c r="B249" s="7"/>
      <c r="C249" s="7"/>
      <c r="D249" s="7"/>
      <c r="E249" s="7"/>
      <c r="F249" s="7"/>
      <c r="G249" s="7"/>
      <c r="H249" s="7"/>
      <c r="I249" s="7"/>
      <c r="J249" s="7"/>
      <c r="K249" s="7"/>
      <c r="L249" s="7"/>
    </row>
    <row r="250" spans="1:12" ht="17.25">
      <c r="A250" s="7"/>
      <c r="B250" s="7"/>
      <c r="C250" s="7"/>
      <c r="D250" s="7"/>
      <c r="E250" s="7"/>
      <c r="F250" s="7"/>
      <c r="G250" s="7"/>
      <c r="H250" s="7"/>
      <c r="I250" s="7"/>
      <c r="J250" s="7"/>
      <c r="K250" s="7"/>
      <c r="L250" s="7"/>
    </row>
    <row r="251" spans="1:12" ht="17.25">
      <c r="A251" s="7"/>
      <c r="B251" s="7"/>
      <c r="C251" s="7"/>
      <c r="D251" s="7"/>
      <c r="E251" s="7"/>
      <c r="F251" s="7"/>
      <c r="G251" s="7"/>
      <c r="H251" s="7"/>
      <c r="I251" s="7"/>
      <c r="J251" s="7"/>
      <c r="K251" s="7"/>
      <c r="L251" s="7"/>
    </row>
    <row r="252" spans="1:12" ht="17.25">
      <c r="A252" s="7"/>
      <c r="B252" s="7"/>
      <c r="C252" s="7"/>
      <c r="D252" s="7"/>
      <c r="E252" s="7"/>
      <c r="F252" s="7"/>
      <c r="G252" s="7"/>
      <c r="H252" s="7"/>
      <c r="I252" s="7"/>
      <c r="J252" s="7"/>
      <c r="K252" s="7"/>
      <c r="L252" s="7"/>
    </row>
    <row r="253" spans="1:12" ht="17.25">
      <c r="A253" s="7"/>
      <c r="B253" s="7"/>
      <c r="C253" s="7"/>
      <c r="D253" s="7"/>
      <c r="E253" s="7"/>
      <c r="F253" s="7"/>
      <c r="G253" s="7"/>
      <c r="H253" s="7"/>
      <c r="I253" s="7"/>
      <c r="J253" s="7"/>
      <c r="K253" s="7"/>
      <c r="L253" s="7"/>
    </row>
    <row r="254" spans="1:12" ht="17.25">
      <c r="A254" s="7"/>
      <c r="B254" s="7"/>
      <c r="C254" s="7"/>
      <c r="D254" s="7"/>
      <c r="E254" s="7"/>
      <c r="F254" s="7"/>
      <c r="G254" s="7"/>
      <c r="H254" s="7"/>
      <c r="I254" s="7"/>
      <c r="J254" s="7"/>
      <c r="K254" s="7"/>
      <c r="L254" s="7"/>
    </row>
    <row r="255" spans="1:12" ht="17.25">
      <c r="A255" s="7"/>
      <c r="B255" s="7"/>
      <c r="C255" s="7"/>
      <c r="D255" s="7"/>
      <c r="E255" s="7"/>
      <c r="F255" s="7"/>
      <c r="G255" s="7"/>
      <c r="H255" s="7"/>
      <c r="I255" s="7"/>
      <c r="J255" s="7"/>
      <c r="K255" s="7"/>
      <c r="L255" s="7"/>
    </row>
    <row r="256" spans="1:12" ht="17.25">
      <c r="A256" s="7"/>
      <c r="B256" s="7"/>
      <c r="C256" s="7"/>
      <c r="D256" s="7"/>
      <c r="E256" s="7"/>
      <c r="F256" s="7"/>
      <c r="G256" s="7"/>
      <c r="H256" s="7"/>
      <c r="I256" s="7"/>
      <c r="J256" s="7"/>
      <c r="K256" s="7"/>
      <c r="L256" s="7"/>
    </row>
    <row r="257" spans="1:12" ht="17.25">
      <c r="A257" s="7"/>
      <c r="B257" s="7"/>
      <c r="C257" s="7"/>
      <c r="D257" s="7"/>
      <c r="E257" s="7"/>
      <c r="F257" s="7"/>
      <c r="G257" s="7"/>
      <c r="H257" s="7"/>
      <c r="I257" s="7"/>
      <c r="J257" s="7"/>
      <c r="K257" s="7"/>
      <c r="L257" s="7"/>
    </row>
    <row r="258" spans="1:12" ht="17.25">
      <c r="A258" s="7"/>
      <c r="B258" s="7"/>
      <c r="C258" s="7"/>
      <c r="D258" s="7"/>
      <c r="E258" s="7"/>
      <c r="F258" s="7"/>
      <c r="G258" s="7"/>
      <c r="H258" s="7"/>
      <c r="I258" s="7"/>
      <c r="J258" s="7"/>
      <c r="K258" s="7"/>
      <c r="L258" s="7"/>
    </row>
    <row r="259" spans="1:12" ht="17.25">
      <c r="A259" s="7"/>
      <c r="B259" s="7"/>
      <c r="C259" s="7"/>
      <c r="D259" s="7"/>
      <c r="E259" s="7"/>
      <c r="F259" s="7"/>
      <c r="G259" s="7"/>
      <c r="H259" s="7"/>
      <c r="I259" s="7"/>
      <c r="J259" s="7"/>
      <c r="K259" s="7"/>
      <c r="L259" s="7"/>
    </row>
    <row r="260" spans="1:12" ht="17.25">
      <c r="A260" s="7"/>
      <c r="B260" s="7"/>
      <c r="C260" s="7"/>
      <c r="D260" s="7"/>
      <c r="E260" s="7"/>
      <c r="F260" s="7"/>
      <c r="G260" s="7"/>
      <c r="H260" s="7"/>
      <c r="I260" s="7"/>
      <c r="J260" s="7"/>
      <c r="K260" s="7"/>
      <c r="L260" s="7"/>
    </row>
    <row r="261" spans="1:12" ht="17.25">
      <c r="A261" s="7"/>
      <c r="B261" s="7"/>
      <c r="C261" s="7"/>
      <c r="D261" s="7"/>
      <c r="E261" s="7"/>
      <c r="F261" s="7"/>
      <c r="G261" s="7"/>
      <c r="H261" s="7"/>
      <c r="I261" s="7"/>
      <c r="J261" s="7"/>
      <c r="K261" s="7"/>
      <c r="L261" s="7"/>
    </row>
    <row r="262" spans="1:12" ht="17.25">
      <c r="A262" s="7"/>
      <c r="B262" s="7"/>
      <c r="C262" s="7"/>
      <c r="D262" s="7"/>
      <c r="E262" s="7"/>
      <c r="F262" s="7"/>
      <c r="G262" s="7"/>
      <c r="H262" s="7"/>
      <c r="I262" s="7"/>
      <c r="J262" s="7"/>
      <c r="K262" s="7"/>
      <c r="L262" s="7"/>
    </row>
    <row r="263" spans="1:12" ht="17.25">
      <c r="A263" s="7"/>
      <c r="B263" s="7"/>
      <c r="C263" s="7"/>
      <c r="D263" s="7"/>
      <c r="E263" s="7"/>
      <c r="F263" s="7"/>
      <c r="G263" s="7"/>
      <c r="H263" s="7"/>
      <c r="I263" s="7"/>
      <c r="J263" s="7"/>
      <c r="K263" s="7"/>
      <c r="L263" s="7"/>
    </row>
    <row r="264" spans="1:12" ht="17.25">
      <c r="A264" s="7"/>
      <c r="B264" s="7"/>
      <c r="C264" s="7"/>
      <c r="D264" s="7"/>
      <c r="E264" s="7"/>
      <c r="F264" s="7"/>
      <c r="G264" s="7"/>
      <c r="H264" s="7"/>
      <c r="I264" s="7"/>
      <c r="J264" s="7"/>
      <c r="K264" s="7"/>
      <c r="L264" s="7"/>
    </row>
    <row r="265" spans="1:12" ht="17.25">
      <c r="A265" s="7"/>
      <c r="B265" s="7"/>
      <c r="C265" s="7"/>
      <c r="D265" s="7"/>
      <c r="E265" s="7"/>
      <c r="F265" s="7"/>
      <c r="G265" s="7"/>
      <c r="H265" s="7"/>
      <c r="I265" s="7"/>
      <c r="J265" s="7"/>
      <c r="K265" s="7"/>
      <c r="L265" s="7"/>
    </row>
    <row r="266" spans="1:12" ht="17.25">
      <c r="A266" s="7"/>
      <c r="B266" s="7"/>
      <c r="C266" s="7"/>
      <c r="D266" s="7"/>
      <c r="E266" s="7"/>
      <c r="F266" s="7"/>
      <c r="G266" s="7"/>
      <c r="H266" s="7"/>
      <c r="I266" s="7"/>
      <c r="J266" s="7"/>
      <c r="K266" s="7"/>
      <c r="L266" s="7"/>
    </row>
    <row r="267" spans="1:12" ht="17.25">
      <c r="A267" s="7"/>
      <c r="B267" s="7"/>
      <c r="C267" s="7"/>
      <c r="D267" s="7"/>
      <c r="E267" s="7"/>
      <c r="F267" s="7"/>
      <c r="G267" s="7"/>
      <c r="H267" s="7"/>
      <c r="I267" s="7"/>
      <c r="J267" s="7"/>
      <c r="K267" s="7"/>
      <c r="L267" s="7"/>
    </row>
    <row r="268" spans="1:12" ht="17.25">
      <c r="A268" s="7"/>
      <c r="B268" s="7"/>
      <c r="C268" s="7"/>
      <c r="D268" s="7"/>
      <c r="E268" s="7"/>
      <c r="F268" s="7"/>
      <c r="G268" s="7"/>
      <c r="H268" s="7"/>
      <c r="I268" s="7"/>
      <c r="J268" s="7"/>
      <c r="K268" s="7"/>
      <c r="L268" s="7"/>
    </row>
    <row r="269" spans="1:12" ht="17.25">
      <c r="A269" s="7"/>
      <c r="B269" s="7"/>
      <c r="C269" s="7"/>
      <c r="D269" s="7"/>
      <c r="E269" s="7"/>
      <c r="F269" s="7"/>
      <c r="G269" s="7"/>
      <c r="H269" s="7"/>
      <c r="I269" s="7"/>
      <c r="J269" s="7"/>
      <c r="K269" s="7"/>
      <c r="L269" s="7"/>
    </row>
    <row r="270" spans="1:12" ht="17.25">
      <c r="A270" s="7"/>
      <c r="B270" s="7"/>
      <c r="C270" s="7"/>
      <c r="D270" s="7"/>
      <c r="E270" s="7"/>
      <c r="F270" s="7"/>
      <c r="G270" s="7"/>
      <c r="H270" s="7"/>
      <c r="I270" s="7"/>
      <c r="J270" s="7"/>
      <c r="K270" s="7"/>
      <c r="L270" s="7"/>
    </row>
    <row r="271" spans="1:12" ht="17.25">
      <c r="A271" s="7"/>
      <c r="B271" s="7"/>
      <c r="C271" s="7"/>
      <c r="D271" s="7"/>
      <c r="E271" s="7"/>
      <c r="F271" s="7"/>
      <c r="G271" s="7"/>
      <c r="H271" s="7"/>
      <c r="I271" s="7"/>
      <c r="J271" s="7"/>
      <c r="K271" s="7"/>
      <c r="L271" s="7"/>
    </row>
    <row r="272" spans="1:12" ht="17.25">
      <c r="A272" s="7"/>
      <c r="B272" s="7"/>
      <c r="C272" s="7"/>
      <c r="D272" s="7"/>
      <c r="E272" s="7"/>
      <c r="F272" s="7"/>
      <c r="G272" s="7"/>
      <c r="H272" s="7"/>
      <c r="I272" s="7"/>
      <c r="J272" s="7"/>
      <c r="K272" s="7"/>
      <c r="L272" s="7"/>
    </row>
    <row r="273" spans="1:12" ht="17.25">
      <c r="A273" s="7"/>
      <c r="B273" s="7"/>
      <c r="C273" s="7"/>
      <c r="D273" s="7"/>
      <c r="E273" s="7"/>
      <c r="F273" s="7"/>
      <c r="G273" s="7"/>
      <c r="H273" s="7"/>
      <c r="I273" s="7"/>
      <c r="J273" s="7"/>
      <c r="K273" s="7"/>
      <c r="L273" s="7"/>
    </row>
    <row r="274" spans="1:12" ht="17.25">
      <c r="A274" s="7"/>
      <c r="B274" s="7"/>
      <c r="C274" s="7"/>
      <c r="D274" s="7"/>
      <c r="E274" s="7"/>
      <c r="F274" s="7"/>
      <c r="G274" s="7"/>
      <c r="H274" s="7"/>
      <c r="I274" s="7"/>
      <c r="J274" s="7"/>
      <c r="K274" s="7"/>
      <c r="L274" s="7"/>
    </row>
    <row r="275" spans="1:12" ht="17.25">
      <c r="A275" s="7"/>
      <c r="B275" s="7"/>
      <c r="C275" s="7"/>
      <c r="D275" s="7"/>
      <c r="E275" s="7"/>
      <c r="F275" s="7"/>
      <c r="G275" s="7"/>
      <c r="H275" s="7"/>
      <c r="I275" s="7"/>
      <c r="J275" s="7"/>
      <c r="K275" s="7"/>
      <c r="L275" s="7"/>
    </row>
    <row r="276" spans="1:12" ht="17.25">
      <c r="A276" s="7"/>
      <c r="B276" s="7"/>
      <c r="C276" s="7"/>
      <c r="D276" s="7"/>
      <c r="E276" s="7"/>
      <c r="F276" s="7"/>
      <c r="G276" s="7"/>
      <c r="H276" s="7"/>
      <c r="I276" s="7"/>
      <c r="J276" s="7"/>
      <c r="K276" s="7"/>
      <c r="L276" s="7"/>
    </row>
    <row r="277" spans="1:12" ht="17.25">
      <c r="A277" s="7"/>
      <c r="B277" s="7"/>
      <c r="C277" s="7"/>
      <c r="D277" s="7"/>
      <c r="E277" s="7"/>
      <c r="F277" s="7"/>
      <c r="G277" s="7"/>
      <c r="H277" s="7"/>
      <c r="I277" s="7"/>
      <c r="J277" s="7"/>
      <c r="K277" s="7"/>
      <c r="L277" s="7"/>
    </row>
    <row r="278" spans="1:12" ht="17.25">
      <c r="A278" s="7"/>
      <c r="B278" s="7"/>
      <c r="C278" s="7"/>
      <c r="D278" s="7"/>
      <c r="E278" s="7"/>
      <c r="F278" s="7"/>
      <c r="G278" s="7"/>
      <c r="H278" s="7"/>
      <c r="I278" s="7"/>
      <c r="J278" s="7"/>
      <c r="K278" s="7"/>
      <c r="L278" s="7"/>
    </row>
    <row r="279" spans="1:12" ht="17.25">
      <c r="A279" s="7"/>
      <c r="B279" s="7"/>
      <c r="C279" s="7"/>
      <c r="D279" s="7"/>
      <c r="E279" s="7"/>
      <c r="F279" s="7"/>
      <c r="G279" s="7"/>
      <c r="H279" s="7"/>
      <c r="I279" s="7"/>
      <c r="J279" s="7"/>
      <c r="K279" s="7"/>
      <c r="L279" s="7"/>
    </row>
    <row r="280" spans="1:12" ht="17.25">
      <c r="A280" s="7"/>
      <c r="B280" s="7"/>
      <c r="C280" s="7"/>
      <c r="D280" s="7"/>
      <c r="E280" s="7"/>
      <c r="F280" s="7"/>
      <c r="G280" s="7"/>
      <c r="H280" s="7"/>
      <c r="I280" s="7"/>
      <c r="J280" s="7"/>
      <c r="K280" s="7"/>
      <c r="L280" s="7"/>
    </row>
    <row r="281" spans="1:12" ht="17.25">
      <c r="A281" s="7"/>
      <c r="B281" s="7"/>
      <c r="C281" s="7"/>
      <c r="D281" s="7"/>
      <c r="E281" s="7"/>
      <c r="F281" s="7"/>
      <c r="G281" s="7"/>
      <c r="H281" s="7"/>
      <c r="I281" s="7"/>
      <c r="J281" s="7"/>
      <c r="K281" s="7"/>
      <c r="L281" s="7"/>
    </row>
    <row r="282" spans="1:12" ht="17.25">
      <c r="A282" s="7"/>
      <c r="B282" s="7"/>
      <c r="C282" s="7"/>
      <c r="D282" s="7"/>
      <c r="E282" s="7"/>
      <c r="F282" s="7"/>
      <c r="G282" s="7"/>
      <c r="H282" s="7"/>
      <c r="I282" s="7"/>
      <c r="J282" s="7"/>
      <c r="K282" s="7"/>
      <c r="L282" s="7"/>
    </row>
    <row r="283" spans="1:12" ht="17.25">
      <c r="A283" s="7"/>
      <c r="B283" s="7"/>
      <c r="C283" s="7"/>
      <c r="D283" s="7"/>
      <c r="E283" s="7"/>
      <c r="F283" s="7"/>
      <c r="G283" s="7"/>
      <c r="H283" s="7"/>
      <c r="I283" s="7"/>
      <c r="J283" s="7"/>
      <c r="K283" s="7"/>
      <c r="L283" s="7"/>
    </row>
    <row r="284" spans="1:12" ht="17.25">
      <c r="A284" s="7"/>
      <c r="B284" s="7"/>
      <c r="C284" s="7"/>
      <c r="D284" s="7"/>
      <c r="E284" s="7"/>
      <c r="F284" s="7"/>
      <c r="G284" s="7"/>
      <c r="H284" s="7"/>
      <c r="I284" s="7"/>
      <c r="J284" s="7"/>
      <c r="K284" s="7"/>
      <c r="L284" s="7"/>
    </row>
    <row r="285" spans="1:12" ht="17.25">
      <c r="A285" s="7"/>
      <c r="B285" s="7"/>
      <c r="C285" s="7"/>
      <c r="D285" s="7"/>
      <c r="E285" s="7"/>
      <c r="F285" s="7"/>
      <c r="G285" s="7"/>
      <c r="H285" s="7"/>
      <c r="I285" s="7"/>
      <c r="J285" s="7"/>
      <c r="K285" s="7"/>
      <c r="L285" s="7"/>
    </row>
    <row r="286" spans="1:12" ht="17.25">
      <c r="A286" s="7"/>
      <c r="B286" s="7"/>
      <c r="C286" s="7"/>
      <c r="D286" s="7"/>
      <c r="E286" s="7"/>
      <c r="F286" s="7"/>
      <c r="G286" s="7"/>
      <c r="H286" s="7"/>
      <c r="I286" s="7"/>
      <c r="J286" s="7"/>
      <c r="K286" s="7"/>
      <c r="L286" s="7"/>
    </row>
    <row r="287" spans="1:12" ht="17.25">
      <c r="A287" s="7"/>
      <c r="B287" s="7"/>
      <c r="C287" s="7"/>
      <c r="D287" s="7"/>
      <c r="E287" s="7"/>
      <c r="F287" s="7"/>
      <c r="G287" s="7"/>
      <c r="H287" s="7"/>
      <c r="I287" s="7"/>
      <c r="J287" s="7"/>
      <c r="K287" s="7"/>
      <c r="L287" s="7"/>
    </row>
    <row r="288" spans="1:12" ht="17.25">
      <c r="A288" s="7"/>
      <c r="B288" s="7"/>
      <c r="C288" s="7"/>
      <c r="D288" s="7"/>
      <c r="E288" s="7"/>
      <c r="F288" s="7"/>
      <c r="G288" s="7"/>
      <c r="H288" s="7"/>
      <c r="I288" s="7"/>
      <c r="J288" s="7"/>
      <c r="K288" s="7"/>
      <c r="L288" s="7"/>
    </row>
    <row r="289" spans="1:12" ht="17.25">
      <c r="A289" s="7"/>
      <c r="B289" s="7"/>
      <c r="C289" s="7"/>
      <c r="D289" s="7"/>
      <c r="E289" s="7"/>
      <c r="F289" s="7"/>
      <c r="G289" s="7"/>
      <c r="H289" s="7"/>
      <c r="I289" s="7"/>
      <c r="J289" s="7"/>
      <c r="K289" s="7"/>
      <c r="L289" s="7"/>
    </row>
    <row r="290" spans="1:12" ht="17.25">
      <c r="A290" s="7"/>
      <c r="B290" s="7"/>
      <c r="C290" s="7"/>
      <c r="D290" s="7"/>
      <c r="E290" s="7"/>
      <c r="F290" s="7"/>
      <c r="G290" s="7"/>
      <c r="H290" s="7"/>
      <c r="I290" s="7"/>
      <c r="J290" s="7"/>
      <c r="K290" s="7"/>
      <c r="L290" s="7"/>
    </row>
    <row r="291" spans="1:12" ht="17.25">
      <c r="A291" s="7"/>
      <c r="B291" s="7"/>
      <c r="C291" s="7"/>
      <c r="D291" s="7"/>
      <c r="E291" s="7"/>
      <c r="F291" s="7"/>
      <c r="G291" s="7"/>
      <c r="H291" s="7"/>
      <c r="I291" s="7"/>
      <c r="J291" s="7"/>
      <c r="K291" s="7"/>
      <c r="L291" s="7"/>
    </row>
    <row r="292" spans="1:12" ht="17.25">
      <c r="A292" s="7"/>
      <c r="B292" s="7"/>
      <c r="C292" s="7"/>
      <c r="D292" s="7"/>
      <c r="E292" s="7"/>
      <c r="F292" s="7"/>
      <c r="G292" s="7"/>
      <c r="H292" s="7"/>
      <c r="I292" s="7"/>
      <c r="J292" s="7"/>
      <c r="K292" s="7"/>
      <c r="L292" s="7"/>
    </row>
    <row r="293" spans="1:12" ht="17.25">
      <c r="A293" s="7"/>
      <c r="B293" s="7"/>
      <c r="C293" s="7"/>
      <c r="D293" s="7"/>
      <c r="E293" s="7"/>
      <c r="F293" s="7"/>
      <c r="G293" s="7"/>
      <c r="H293" s="7"/>
      <c r="I293" s="7"/>
      <c r="J293" s="7"/>
      <c r="K293" s="7"/>
      <c r="L293" s="7"/>
    </row>
    <row r="294" spans="1:12" ht="17.25">
      <c r="A294" s="7"/>
      <c r="B294" s="7"/>
      <c r="C294" s="7"/>
      <c r="D294" s="7"/>
      <c r="E294" s="7"/>
      <c r="F294" s="7"/>
      <c r="G294" s="7"/>
      <c r="H294" s="7"/>
      <c r="I294" s="7"/>
      <c r="J294" s="7"/>
      <c r="K294" s="7"/>
      <c r="L294" s="7"/>
    </row>
    <row r="295" spans="1:12" ht="17.25">
      <c r="A295" s="7"/>
      <c r="B295" s="7"/>
      <c r="C295" s="7"/>
      <c r="D295" s="7"/>
      <c r="E295" s="7"/>
      <c r="F295" s="7"/>
      <c r="G295" s="7"/>
      <c r="H295" s="7"/>
      <c r="I295" s="7"/>
      <c r="J295" s="7"/>
      <c r="K295" s="7"/>
      <c r="L295" s="7"/>
    </row>
    <row r="296" spans="1:12" ht="17.25">
      <c r="A296" s="7"/>
      <c r="B296" s="7"/>
      <c r="C296" s="7"/>
      <c r="D296" s="7"/>
      <c r="E296" s="7"/>
      <c r="F296" s="7"/>
      <c r="G296" s="7"/>
      <c r="H296" s="7"/>
      <c r="I296" s="7"/>
      <c r="J296" s="7"/>
      <c r="K296" s="7"/>
      <c r="L296" s="7"/>
    </row>
    <row r="297" spans="1:12" ht="17.25">
      <c r="A297" s="7"/>
      <c r="B297" s="7"/>
      <c r="C297" s="7"/>
      <c r="D297" s="7"/>
      <c r="E297" s="7"/>
      <c r="F297" s="7"/>
      <c r="G297" s="7"/>
      <c r="H297" s="7"/>
      <c r="I297" s="7"/>
      <c r="J297" s="7"/>
      <c r="K297" s="7"/>
      <c r="L297" s="7"/>
    </row>
    <row r="298" spans="1:12" ht="17.25">
      <c r="A298" s="7"/>
      <c r="B298" s="7"/>
      <c r="C298" s="7"/>
      <c r="D298" s="7"/>
      <c r="E298" s="7"/>
      <c r="F298" s="7"/>
      <c r="G298" s="7"/>
      <c r="H298" s="7"/>
      <c r="I298" s="7"/>
      <c r="J298" s="7"/>
      <c r="K298" s="7"/>
      <c r="L298" s="7"/>
    </row>
    <row r="299" spans="1:12" ht="17.25">
      <c r="A299" s="7"/>
      <c r="B299" s="7"/>
      <c r="C299" s="7"/>
      <c r="D299" s="7"/>
      <c r="E299" s="7"/>
      <c r="F299" s="7"/>
      <c r="G299" s="7"/>
      <c r="H299" s="7"/>
      <c r="I299" s="7"/>
      <c r="J299" s="7"/>
      <c r="K299" s="7"/>
      <c r="L299" s="7"/>
    </row>
    <row r="300" spans="1:12" ht="17.25">
      <c r="A300" s="7"/>
      <c r="B300" s="7"/>
      <c r="C300" s="7"/>
      <c r="D300" s="7"/>
      <c r="E300" s="7"/>
      <c r="F300" s="7"/>
      <c r="G300" s="7"/>
      <c r="H300" s="7"/>
      <c r="I300" s="7"/>
      <c r="J300" s="7"/>
      <c r="K300" s="7"/>
      <c r="L300" s="7"/>
    </row>
    <row r="301" spans="1:12" ht="17.25">
      <c r="A301" s="7"/>
      <c r="B301" s="7"/>
      <c r="C301" s="7"/>
      <c r="D301" s="7"/>
      <c r="E301" s="7"/>
      <c r="F301" s="7"/>
      <c r="G301" s="7"/>
      <c r="H301" s="7"/>
      <c r="I301" s="7"/>
      <c r="J301" s="7"/>
      <c r="K301" s="7"/>
      <c r="L301" s="7"/>
    </row>
    <row r="302" spans="1:12" ht="17.25">
      <c r="A302" s="7"/>
      <c r="B302" s="7"/>
      <c r="C302" s="7"/>
      <c r="D302" s="7"/>
      <c r="E302" s="7"/>
      <c r="F302" s="7"/>
      <c r="G302" s="7"/>
      <c r="H302" s="7"/>
      <c r="I302" s="7"/>
      <c r="J302" s="7"/>
      <c r="K302" s="7"/>
      <c r="L302" s="7"/>
    </row>
    <row r="303" spans="1:12" ht="17.25">
      <c r="A303" s="7"/>
      <c r="B303" s="7"/>
      <c r="C303" s="7"/>
      <c r="D303" s="7"/>
      <c r="E303" s="7"/>
      <c r="F303" s="7"/>
      <c r="G303" s="7"/>
      <c r="H303" s="7"/>
      <c r="I303" s="7"/>
      <c r="J303" s="7"/>
      <c r="K303" s="7"/>
      <c r="L303" s="7"/>
    </row>
    <row r="304" spans="1:12" ht="17.25">
      <c r="A304" s="7"/>
      <c r="B304" s="7"/>
      <c r="C304" s="7"/>
      <c r="D304" s="7"/>
      <c r="E304" s="7"/>
      <c r="F304" s="7"/>
      <c r="G304" s="7"/>
      <c r="H304" s="7"/>
      <c r="I304" s="7"/>
      <c r="J304" s="7"/>
      <c r="K304" s="7"/>
      <c r="L304" s="7"/>
    </row>
    <row r="305" spans="1:12" ht="17.25">
      <c r="A305" s="7"/>
      <c r="B305" s="7"/>
      <c r="C305" s="7"/>
      <c r="D305" s="7"/>
      <c r="E305" s="7"/>
      <c r="F305" s="7"/>
      <c r="G305" s="7"/>
      <c r="H305" s="7"/>
      <c r="I305" s="7"/>
      <c r="J305" s="7"/>
      <c r="K305" s="7"/>
      <c r="L305" s="7"/>
    </row>
    <row r="306" spans="1:12" ht="17.25">
      <c r="A306" s="7"/>
      <c r="B306" s="7"/>
      <c r="C306" s="7"/>
      <c r="D306" s="7"/>
      <c r="E306" s="7"/>
      <c r="F306" s="7"/>
      <c r="G306" s="7"/>
      <c r="H306" s="7"/>
      <c r="I306" s="7"/>
      <c r="J306" s="7"/>
      <c r="K306" s="7"/>
      <c r="L306" s="7"/>
    </row>
    <row r="307" spans="1:12" ht="17.25">
      <c r="A307" s="7"/>
      <c r="B307" s="7"/>
      <c r="C307" s="7"/>
      <c r="D307" s="7"/>
      <c r="E307" s="7"/>
      <c r="F307" s="7"/>
      <c r="G307" s="7"/>
      <c r="H307" s="7"/>
      <c r="I307" s="7"/>
      <c r="J307" s="7"/>
      <c r="K307" s="7"/>
      <c r="L307" s="7"/>
    </row>
    <row r="308" spans="1:12" ht="17.25">
      <c r="A308" s="7"/>
      <c r="B308" s="7"/>
      <c r="C308" s="7"/>
      <c r="D308" s="7"/>
      <c r="E308" s="7"/>
      <c r="F308" s="7"/>
      <c r="G308" s="7"/>
      <c r="H308" s="7"/>
      <c r="I308" s="7"/>
      <c r="J308" s="7"/>
      <c r="K308" s="7"/>
      <c r="L308" s="7"/>
    </row>
    <row r="309" spans="1:12" ht="17.25">
      <c r="A309" s="7"/>
      <c r="B309" s="7"/>
      <c r="C309" s="7"/>
      <c r="D309" s="7"/>
      <c r="E309" s="7"/>
      <c r="F309" s="7"/>
      <c r="G309" s="7"/>
      <c r="H309" s="7"/>
      <c r="I309" s="7"/>
      <c r="J309" s="7"/>
      <c r="K309" s="7"/>
      <c r="L309" s="7"/>
    </row>
    <row r="310" spans="1:12" ht="17.25">
      <c r="A310" s="7"/>
      <c r="B310" s="7"/>
      <c r="C310" s="7"/>
      <c r="D310" s="7"/>
      <c r="E310" s="7"/>
      <c r="F310" s="7"/>
      <c r="G310" s="7"/>
      <c r="H310" s="7"/>
      <c r="I310" s="7"/>
      <c r="J310" s="7"/>
      <c r="K310" s="7"/>
      <c r="L310" s="7"/>
    </row>
    <row r="311" spans="1:12" ht="17.25">
      <c r="A311" s="7"/>
      <c r="B311" s="7"/>
      <c r="C311" s="7"/>
      <c r="D311" s="7"/>
      <c r="E311" s="7"/>
      <c r="F311" s="7"/>
      <c r="G311" s="7"/>
      <c r="H311" s="7"/>
      <c r="I311" s="7"/>
      <c r="J311" s="7"/>
      <c r="K311" s="7"/>
      <c r="L311" s="7"/>
    </row>
    <row r="312" spans="1:12" ht="17.25">
      <c r="A312" s="7"/>
      <c r="B312" s="7"/>
      <c r="C312" s="7"/>
      <c r="D312" s="7"/>
      <c r="E312" s="7"/>
      <c r="F312" s="7"/>
      <c r="G312" s="7"/>
      <c r="H312" s="7"/>
      <c r="I312" s="7"/>
      <c r="J312" s="7"/>
      <c r="K312" s="7"/>
      <c r="L312" s="7"/>
    </row>
    <row r="313" spans="1:12" ht="17.25">
      <c r="A313" s="7"/>
      <c r="B313" s="7"/>
      <c r="C313" s="7"/>
      <c r="D313" s="7"/>
      <c r="E313" s="7"/>
      <c r="F313" s="7"/>
      <c r="G313" s="7"/>
      <c r="H313" s="7"/>
      <c r="I313" s="7"/>
      <c r="J313" s="7"/>
      <c r="K313" s="7"/>
      <c r="L313" s="7"/>
    </row>
    <row r="314" spans="1:12" ht="17.25">
      <c r="A314" s="7"/>
      <c r="B314" s="7"/>
      <c r="C314" s="7"/>
      <c r="D314" s="7"/>
      <c r="E314" s="7"/>
      <c r="F314" s="7"/>
      <c r="G314" s="7"/>
      <c r="H314" s="7"/>
      <c r="I314" s="7"/>
      <c r="J314" s="7"/>
      <c r="K314" s="7"/>
      <c r="L314" s="7"/>
    </row>
    <row r="315" spans="1:12" ht="17.25">
      <c r="A315" s="7"/>
      <c r="B315" s="7"/>
      <c r="C315" s="7"/>
      <c r="D315" s="7"/>
      <c r="E315" s="7"/>
      <c r="F315" s="7"/>
      <c r="G315" s="7"/>
      <c r="H315" s="7"/>
      <c r="I315" s="7"/>
      <c r="J315" s="7"/>
      <c r="K315" s="7"/>
      <c r="L315" s="7"/>
    </row>
    <row r="316" spans="1:12" ht="17.25">
      <c r="A316" s="7"/>
      <c r="B316" s="7"/>
      <c r="C316" s="7"/>
      <c r="D316" s="7"/>
      <c r="E316" s="7"/>
      <c r="F316" s="7"/>
      <c r="G316" s="7"/>
      <c r="H316" s="7"/>
      <c r="I316" s="7"/>
      <c r="J316" s="7"/>
      <c r="K316" s="7"/>
      <c r="L316" s="7"/>
    </row>
    <row r="317" spans="1:12" ht="17.25">
      <c r="A317" s="7"/>
      <c r="B317" s="7"/>
      <c r="C317" s="7"/>
      <c r="D317" s="7"/>
      <c r="E317" s="7"/>
      <c r="F317" s="7"/>
      <c r="G317" s="7"/>
      <c r="H317" s="7"/>
      <c r="I317" s="7"/>
      <c r="J317" s="7"/>
      <c r="K317" s="7"/>
      <c r="L317" s="7"/>
    </row>
    <row r="318" spans="1:12" ht="17.25">
      <c r="A318" s="7"/>
      <c r="B318" s="7"/>
      <c r="C318" s="7"/>
      <c r="D318" s="7"/>
      <c r="E318" s="7"/>
      <c r="F318" s="7"/>
      <c r="G318" s="7"/>
      <c r="H318" s="7"/>
      <c r="I318" s="7"/>
      <c r="J318" s="7"/>
      <c r="K318" s="7"/>
      <c r="L318" s="7"/>
    </row>
    <row r="319" spans="1:12" ht="17.25">
      <c r="A319" s="7"/>
      <c r="B319" s="7"/>
      <c r="C319" s="7"/>
      <c r="D319" s="7"/>
      <c r="E319" s="7"/>
      <c r="F319" s="7"/>
      <c r="G319" s="7"/>
      <c r="H319" s="7"/>
      <c r="I319" s="7"/>
      <c r="J319" s="7"/>
      <c r="K319" s="7"/>
      <c r="L319" s="7"/>
    </row>
    <row r="320" spans="1:12" ht="17.25">
      <c r="A320" s="7"/>
      <c r="B320" s="7"/>
      <c r="C320" s="7"/>
      <c r="D320" s="7"/>
      <c r="E320" s="7"/>
      <c r="F320" s="7"/>
      <c r="G320" s="7"/>
      <c r="H320" s="7"/>
      <c r="I320" s="7"/>
      <c r="J320" s="7"/>
      <c r="K320" s="7"/>
      <c r="L320" s="7"/>
    </row>
    <row r="321" spans="1:12" ht="17.25">
      <c r="A321" s="7"/>
      <c r="B321" s="7"/>
      <c r="C321" s="7"/>
      <c r="D321" s="7"/>
      <c r="E321" s="7"/>
      <c r="F321" s="7"/>
      <c r="G321" s="7"/>
      <c r="H321" s="7"/>
      <c r="I321" s="7"/>
      <c r="J321" s="7"/>
      <c r="K321" s="7"/>
      <c r="L321" s="7"/>
    </row>
    <row r="322" spans="1:12" ht="17.25">
      <c r="A322" s="7"/>
      <c r="B322" s="7"/>
      <c r="C322" s="7"/>
      <c r="D322" s="7"/>
      <c r="E322" s="7"/>
      <c r="F322" s="7"/>
      <c r="G322" s="7"/>
      <c r="H322" s="7"/>
      <c r="I322" s="7"/>
      <c r="J322" s="7"/>
      <c r="K322" s="7"/>
      <c r="L322" s="7"/>
    </row>
    <row r="323" spans="1:12" ht="17.25">
      <c r="A323" s="7"/>
      <c r="B323" s="7"/>
      <c r="C323" s="7"/>
      <c r="D323" s="7"/>
      <c r="E323" s="7"/>
      <c r="F323" s="7"/>
      <c r="G323" s="7"/>
      <c r="H323" s="7"/>
      <c r="I323" s="7"/>
      <c r="J323" s="7"/>
      <c r="K323" s="7"/>
      <c r="L323" s="7"/>
    </row>
    <row r="324" spans="1:12" ht="17.25">
      <c r="A324" s="7"/>
      <c r="B324" s="7"/>
      <c r="C324" s="7"/>
      <c r="D324" s="7"/>
      <c r="E324" s="7"/>
      <c r="F324" s="7"/>
      <c r="G324" s="7"/>
      <c r="H324" s="7"/>
      <c r="I324" s="7"/>
      <c r="J324" s="7"/>
      <c r="K324" s="7"/>
      <c r="L324" s="7"/>
    </row>
    <row r="325" spans="1:12" ht="17.25">
      <c r="A325" s="7"/>
      <c r="B325" s="7"/>
      <c r="C325" s="7"/>
      <c r="D325" s="7"/>
      <c r="E325" s="7"/>
      <c r="F325" s="7"/>
      <c r="G325" s="7"/>
      <c r="H325" s="7"/>
      <c r="I325" s="7"/>
      <c r="J325" s="7"/>
      <c r="K325" s="7"/>
      <c r="L325" s="7"/>
    </row>
    <row r="326" spans="1:12" ht="17.25">
      <c r="A326" s="7"/>
      <c r="B326" s="7"/>
      <c r="C326" s="7"/>
      <c r="D326" s="7"/>
      <c r="E326" s="7"/>
      <c r="F326" s="7"/>
      <c r="G326" s="7"/>
      <c r="H326" s="7"/>
      <c r="I326" s="7"/>
      <c r="J326" s="7"/>
      <c r="K326" s="7"/>
      <c r="L326" s="7"/>
    </row>
    <row r="327" spans="1:12" ht="17.25">
      <c r="A327" s="7"/>
      <c r="B327" s="7"/>
      <c r="C327" s="7"/>
      <c r="D327" s="7"/>
      <c r="E327" s="7"/>
      <c r="F327" s="7"/>
      <c r="G327" s="7"/>
      <c r="H327" s="7"/>
      <c r="I327" s="7"/>
      <c r="J327" s="7"/>
      <c r="K327" s="7"/>
      <c r="L327" s="7"/>
    </row>
    <row r="328" spans="1:12" ht="17.25">
      <c r="A328" s="7"/>
      <c r="B328" s="7"/>
      <c r="C328" s="7"/>
      <c r="D328" s="7"/>
      <c r="E328" s="7"/>
      <c r="F328" s="7"/>
      <c r="G328" s="7"/>
      <c r="H328" s="7"/>
      <c r="I328" s="7"/>
      <c r="J328" s="7"/>
      <c r="K328" s="7"/>
      <c r="L328" s="7"/>
    </row>
    <row r="329" spans="1:12" ht="17.25">
      <c r="A329" s="7"/>
      <c r="B329" s="7"/>
      <c r="C329" s="7"/>
      <c r="D329" s="7"/>
      <c r="E329" s="7"/>
      <c r="F329" s="7"/>
      <c r="G329" s="7"/>
      <c r="H329" s="7"/>
      <c r="I329" s="7"/>
      <c r="J329" s="7"/>
      <c r="K329" s="7"/>
      <c r="L329" s="7"/>
    </row>
    <row r="330" spans="1:12" ht="17.25">
      <c r="A330" s="7"/>
      <c r="B330" s="7"/>
      <c r="C330" s="7"/>
      <c r="D330" s="7"/>
      <c r="E330" s="7"/>
      <c r="F330" s="7"/>
      <c r="G330" s="7"/>
      <c r="H330" s="7"/>
      <c r="I330" s="7"/>
      <c r="J330" s="7"/>
      <c r="K330" s="7"/>
      <c r="L330" s="7"/>
    </row>
    <row r="331" spans="1:12" ht="17.25">
      <c r="A331" s="7"/>
      <c r="B331" s="7"/>
      <c r="C331" s="7"/>
      <c r="D331" s="7"/>
      <c r="E331" s="7"/>
      <c r="F331" s="7"/>
      <c r="G331" s="7"/>
      <c r="H331" s="7"/>
      <c r="I331" s="7"/>
      <c r="J331" s="7"/>
      <c r="K331" s="7"/>
      <c r="L331" s="7"/>
    </row>
    <row r="332" spans="1:12" ht="17.25">
      <c r="A332" s="7"/>
      <c r="B332" s="7"/>
      <c r="C332" s="7"/>
      <c r="D332" s="7"/>
      <c r="E332" s="7"/>
      <c r="F332" s="7"/>
      <c r="G332" s="7"/>
      <c r="H332" s="7"/>
      <c r="I332" s="7"/>
      <c r="J332" s="7"/>
      <c r="K332" s="7"/>
      <c r="L332" s="7"/>
    </row>
    <row r="333" spans="1:12" ht="17.25">
      <c r="A333" s="7"/>
      <c r="B333" s="7"/>
      <c r="C333" s="7"/>
      <c r="D333" s="7"/>
      <c r="E333" s="7"/>
      <c r="F333" s="7"/>
      <c r="G333" s="7"/>
      <c r="H333" s="7"/>
      <c r="I333" s="7"/>
      <c r="J333" s="7"/>
      <c r="K333" s="7"/>
      <c r="L333" s="7"/>
    </row>
    <row r="334" spans="1:12" ht="17.25">
      <c r="A334" s="7"/>
      <c r="B334" s="7"/>
      <c r="C334" s="7"/>
      <c r="D334" s="7"/>
      <c r="E334" s="7"/>
      <c r="F334" s="7"/>
      <c r="G334" s="7"/>
      <c r="H334" s="7"/>
      <c r="I334" s="7"/>
      <c r="J334" s="7"/>
      <c r="K334" s="7"/>
      <c r="L334" s="7"/>
    </row>
    <row r="335" spans="1:12" ht="17.25">
      <c r="A335" s="7"/>
      <c r="B335" s="7"/>
      <c r="C335" s="7"/>
      <c r="D335" s="7"/>
      <c r="E335" s="7"/>
      <c r="F335" s="7"/>
      <c r="G335" s="7"/>
      <c r="H335" s="7"/>
      <c r="I335" s="7"/>
      <c r="J335" s="7"/>
      <c r="K335" s="7"/>
      <c r="L335" s="7"/>
    </row>
    <row r="336" spans="1:12" ht="17.25">
      <c r="A336" s="7"/>
      <c r="B336" s="7"/>
      <c r="C336" s="7"/>
      <c r="D336" s="7"/>
      <c r="E336" s="7"/>
      <c r="F336" s="7"/>
      <c r="G336" s="7"/>
      <c r="H336" s="7"/>
      <c r="I336" s="7"/>
      <c r="J336" s="7"/>
      <c r="K336" s="7"/>
      <c r="L336" s="7"/>
    </row>
    <row r="337" spans="1:12" ht="17.25">
      <c r="A337" s="7"/>
      <c r="B337" s="7"/>
      <c r="C337" s="7"/>
      <c r="D337" s="7"/>
      <c r="E337" s="7"/>
      <c r="F337" s="7"/>
      <c r="G337" s="7"/>
      <c r="H337" s="7"/>
      <c r="I337" s="7"/>
      <c r="J337" s="7"/>
      <c r="K337" s="7"/>
      <c r="L337" s="7"/>
    </row>
    <row r="338" spans="1:12" ht="17.25">
      <c r="A338" s="7"/>
      <c r="B338" s="7"/>
      <c r="C338" s="7"/>
      <c r="D338" s="7"/>
      <c r="E338" s="7"/>
      <c r="F338" s="7"/>
      <c r="G338" s="7"/>
      <c r="H338" s="7"/>
      <c r="I338" s="7"/>
      <c r="J338" s="7"/>
      <c r="K338" s="7"/>
      <c r="L338" s="7"/>
    </row>
    <row r="339" spans="1:12" ht="17.25">
      <c r="A339" s="7"/>
      <c r="B339" s="7"/>
      <c r="C339" s="7"/>
      <c r="D339" s="7"/>
      <c r="E339" s="7"/>
      <c r="F339" s="7"/>
      <c r="G339" s="7"/>
      <c r="H339" s="7"/>
      <c r="I339" s="7"/>
      <c r="J339" s="7"/>
      <c r="K339" s="7"/>
      <c r="L339" s="7"/>
    </row>
    <row r="340" spans="1:12" ht="17.25">
      <c r="A340" s="7"/>
      <c r="B340" s="7"/>
      <c r="C340" s="7"/>
      <c r="D340" s="7"/>
      <c r="E340" s="7"/>
      <c r="F340" s="7"/>
      <c r="G340" s="7"/>
      <c r="H340" s="7"/>
      <c r="I340" s="7"/>
      <c r="J340" s="7"/>
      <c r="K340" s="7"/>
      <c r="L340" s="7"/>
    </row>
    <row r="341" spans="1:12" ht="17.25">
      <c r="A341" s="7"/>
      <c r="B341" s="7"/>
      <c r="C341" s="7"/>
      <c r="D341" s="7"/>
      <c r="E341" s="7"/>
      <c r="F341" s="7"/>
      <c r="G341" s="7"/>
      <c r="H341" s="7"/>
      <c r="I341" s="7"/>
      <c r="J341" s="7"/>
      <c r="K341" s="7"/>
      <c r="L341" s="7"/>
    </row>
    <row r="342" spans="1:12" ht="17.25">
      <c r="A342" s="7"/>
      <c r="B342" s="7"/>
      <c r="C342" s="7"/>
      <c r="D342" s="7"/>
      <c r="E342" s="7"/>
      <c r="F342" s="7"/>
      <c r="G342" s="7"/>
      <c r="H342" s="7"/>
      <c r="I342" s="7"/>
      <c r="J342" s="7"/>
      <c r="K342" s="7"/>
      <c r="L342" s="7"/>
    </row>
    <row r="343" spans="1:12" ht="17.25">
      <c r="A343" s="7"/>
      <c r="B343" s="7"/>
      <c r="C343" s="7"/>
      <c r="D343" s="7"/>
      <c r="E343" s="7"/>
      <c r="F343" s="7"/>
      <c r="G343" s="7"/>
      <c r="H343" s="7"/>
      <c r="I343" s="7"/>
      <c r="J343" s="7"/>
      <c r="K343" s="7"/>
      <c r="L343" s="7"/>
    </row>
    <row r="344" spans="1:12" ht="17.25">
      <c r="A344" s="7"/>
      <c r="B344" s="7"/>
      <c r="C344" s="7"/>
      <c r="D344" s="7"/>
      <c r="E344" s="7"/>
      <c r="F344" s="7"/>
      <c r="G344" s="7"/>
      <c r="H344" s="7"/>
      <c r="I344" s="7"/>
      <c r="J344" s="7"/>
      <c r="K344" s="7"/>
      <c r="L344" s="7"/>
    </row>
    <row r="345" spans="1:12" ht="17.25">
      <c r="A345" s="7"/>
      <c r="B345" s="7"/>
      <c r="C345" s="7"/>
      <c r="D345" s="7"/>
      <c r="E345" s="7"/>
      <c r="F345" s="7"/>
      <c r="G345" s="7"/>
      <c r="H345" s="7"/>
      <c r="I345" s="7"/>
      <c r="J345" s="7"/>
      <c r="K345" s="7"/>
      <c r="L345" s="7"/>
    </row>
    <row r="346" spans="1:12" ht="17.25">
      <c r="A346" s="7"/>
      <c r="B346" s="7"/>
      <c r="C346" s="7"/>
      <c r="D346" s="7"/>
      <c r="E346" s="7"/>
      <c r="F346" s="7"/>
      <c r="G346" s="7"/>
      <c r="H346" s="7"/>
      <c r="I346" s="7"/>
      <c r="J346" s="7"/>
      <c r="K346" s="7"/>
      <c r="L346" s="7"/>
    </row>
    <row r="347" spans="1:12" ht="17.25">
      <c r="A347" s="7"/>
      <c r="B347" s="7"/>
      <c r="C347" s="7"/>
      <c r="D347" s="7"/>
      <c r="E347" s="7"/>
      <c r="F347" s="7"/>
      <c r="G347" s="7"/>
      <c r="H347" s="7"/>
      <c r="I347" s="7"/>
      <c r="J347" s="7"/>
      <c r="K347" s="7"/>
      <c r="L347" s="7"/>
    </row>
    <row r="348" spans="1:12" ht="17.25">
      <c r="A348" s="7"/>
      <c r="B348" s="7"/>
      <c r="C348" s="7"/>
      <c r="D348" s="7"/>
      <c r="E348" s="7"/>
      <c r="F348" s="7"/>
      <c r="G348" s="7"/>
      <c r="H348" s="7"/>
      <c r="I348" s="7"/>
      <c r="J348" s="7"/>
      <c r="K348" s="7"/>
      <c r="L348" s="7"/>
    </row>
    <row r="349" spans="1:12" ht="17.25">
      <c r="A349" s="7"/>
      <c r="B349" s="7"/>
      <c r="C349" s="7"/>
      <c r="D349" s="7"/>
      <c r="E349" s="7"/>
      <c r="F349" s="7"/>
      <c r="G349" s="7"/>
      <c r="H349" s="7"/>
      <c r="I349" s="7"/>
      <c r="J349" s="7"/>
      <c r="K349" s="7"/>
      <c r="L349" s="7"/>
    </row>
    <row r="350" spans="1:12" ht="17.25">
      <c r="A350" s="7"/>
      <c r="B350" s="7"/>
      <c r="C350" s="7"/>
      <c r="D350" s="7"/>
      <c r="E350" s="7"/>
      <c r="F350" s="7"/>
      <c r="G350" s="7"/>
      <c r="H350" s="7"/>
      <c r="I350" s="7"/>
      <c r="J350" s="7"/>
      <c r="K350" s="7"/>
      <c r="L350" s="7"/>
    </row>
    <row r="351" spans="1:12" ht="17.25">
      <c r="A351" s="7"/>
      <c r="B351" s="7"/>
      <c r="C351" s="7"/>
      <c r="D351" s="7"/>
      <c r="E351" s="7"/>
      <c r="F351" s="7"/>
      <c r="G351" s="7"/>
      <c r="H351" s="7"/>
      <c r="I351" s="7"/>
      <c r="J351" s="7"/>
      <c r="K351" s="7"/>
      <c r="L351" s="7"/>
    </row>
    <row r="352" spans="1:12" ht="17.25">
      <c r="A352" s="7"/>
      <c r="B352" s="7"/>
      <c r="C352" s="7"/>
      <c r="D352" s="7"/>
      <c r="E352" s="7"/>
      <c r="F352" s="7"/>
      <c r="G352" s="7"/>
      <c r="H352" s="7"/>
      <c r="I352" s="7"/>
      <c r="J352" s="7"/>
      <c r="K352" s="7"/>
      <c r="L352" s="7"/>
    </row>
    <row r="353" spans="1:12" ht="17.25">
      <c r="A353" s="7"/>
      <c r="B353" s="7"/>
      <c r="C353" s="7"/>
      <c r="D353" s="7"/>
      <c r="E353" s="7"/>
      <c r="F353" s="7"/>
      <c r="G353" s="7"/>
      <c r="H353" s="7"/>
      <c r="I353" s="7"/>
      <c r="J353" s="7"/>
      <c r="K353" s="7"/>
      <c r="L353" s="7"/>
    </row>
    <row r="354" spans="1:12" ht="17.25">
      <c r="A354" s="7"/>
      <c r="B354" s="7"/>
      <c r="C354" s="7"/>
      <c r="D354" s="7"/>
      <c r="E354" s="7"/>
      <c r="F354" s="7"/>
      <c r="G354" s="7"/>
      <c r="H354" s="7"/>
      <c r="I354" s="7"/>
      <c r="J354" s="7"/>
      <c r="K354" s="7"/>
      <c r="L354" s="7"/>
    </row>
    <row r="355" spans="1:12" ht="17.25">
      <c r="A355" s="7"/>
      <c r="B355" s="7"/>
      <c r="C355" s="7"/>
      <c r="D355" s="7"/>
      <c r="E355" s="7"/>
      <c r="F355" s="7"/>
      <c r="G355" s="7"/>
      <c r="H355" s="7"/>
      <c r="I355" s="7"/>
      <c r="J355" s="7"/>
      <c r="K355" s="7"/>
      <c r="L355" s="7"/>
    </row>
    <row r="356" spans="1:12" ht="17.25">
      <c r="A356" s="7"/>
      <c r="B356" s="7"/>
      <c r="C356" s="7"/>
      <c r="D356" s="7"/>
      <c r="E356" s="7"/>
      <c r="F356" s="7"/>
      <c r="G356" s="7"/>
      <c r="H356" s="7"/>
      <c r="I356" s="7"/>
      <c r="J356" s="7"/>
      <c r="K356" s="7"/>
      <c r="L356" s="7"/>
    </row>
    <row r="357" spans="1:12" ht="17.25">
      <c r="A357" s="7"/>
      <c r="B357" s="7"/>
      <c r="C357" s="7"/>
      <c r="D357" s="7"/>
      <c r="E357" s="7"/>
      <c r="F357" s="7"/>
      <c r="G357" s="7"/>
      <c r="H357" s="7"/>
      <c r="I357" s="7"/>
      <c r="J357" s="7"/>
      <c r="K357" s="7"/>
      <c r="L357" s="7"/>
    </row>
    <row r="358" spans="1:12" ht="17.25">
      <c r="A358" s="7"/>
      <c r="B358" s="7"/>
      <c r="C358" s="7"/>
      <c r="D358" s="7"/>
      <c r="E358" s="7"/>
      <c r="F358" s="7"/>
      <c r="G358" s="7"/>
      <c r="H358" s="7"/>
      <c r="I358" s="7"/>
      <c r="J358" s="7"/>
      <c r="K358" s="7"/>
      <c r="L358" s="7"/>
    </row>
    <row r="359" spans="1:12" ht="17.25">
      <c r="A359" s="7"/>
      <c r="B359" s="7"/>
      <c r="C359" s="7"/>
      <c r="D359" s="7"/>
      <c r="E359" s="7"/>
      <c r="F359" s="7"/>
      <c r="G359" s="7"/>
      <c r="H359" s="7"/>
      <c r="I359" s="7"/>
      <c r="J359" s="7"/>
      <c r="K359" s="7"/>
      <c r="L359" s="7"/>
    </row>
    <row r="360" spans="1:12" ht="17.25">
      <c r="A360" s="7"/>
      <c r="B360" s="7"/>
      <c r="C360" s="7"/>
      <c r="D360" s="7"/>
      <c r="E360" s="7"/>
      <c r="F360" s="7"/>
      <c r="G360" s="7"/>
      <c r="H360" s="7"/>
      <c r="I360" s="7"/>
      <c r="J360" s="7"/>
      <c r="K360" s="7"/>
      <c r="L360" s="7"/>
    </row>
    <row r="361" spans="1:12" ht="17.25">
      <c r="A361" s="7"/>
      <c r="B361" s="7"/>
      <c r="C361" s="7"/>
      <c r="D361" s="7"/>
      <c r="E361" s="7"/>
      <c r="F361" s="7"/>
      <c r="G361" s="7"/>
      <c r="H361" s="7"/>
      <c r="I361" s="7"/>
      <c r="J361" s="7"/>
      <c r="K361" s="7"/>
      <c r="L361" s="7"/>
    </row>
    <row r="362" spans="1:12" ht="17.25">
      <c r="A362" s="7"/>
      <c r="B362" s="7"/>
      <c r="C362" s="7"/>
      <c r="D362" s="7"/>
      <c r="E362" s="7"/>
      <c r="F362" s="7"/>
      <c r="G362" s="7"/>
      <c r="H362" s="7"/>
      <c r="I362" s="7"/>
      <c r="J362" s="7"/>
      <c r="K362" s="7"/>
      <c r="L362" s="7"/>
    </row>
    <row r="363" spans="1:12" ht="17.25">
      <c r="A363" s="7"/>
      <c r="B363" s="7"/>
      <c r="C363" s="7"/>
      <c r="D363" s="7"/>
      <c r="E363" s="7"/>
      <c r="F363" s="7"/>
      <c r="G363" s="7"/>
      <c r="H363" s="7"/>
      <c r="I363" s="7"/>
      <c r="J363" s="7"/>
      <c r="K363" s="7"/>
      <c r="L363" s="7"/>
    </row>
    <row r="364" spans="1:12" ht="17.25">
      <c r="A364" s="7"/>
      <c r="B364" s="7"/>
      <c r="C364" s="7"/>
      <c r="D364" s="7"/>
      <c r="E364" s="7"/>
      <c r="F364" s="7"/>
      <c r="G364" s="7"/>
      <c r="H364" s="7"/>
      <c r="I364" s="7"/>
      <c r="J364" s="7"/>
      <c r="K364" s="7"/>
      <c r="L364" s="7"/>
    </row>
    <row r="365" spans="1:12" ht="17.25">
      <c r="A365" s="7"/>
      <c r="B365" s="7"/>
      <c r="C365" s="7"/>
      <c r="D365" s="7"/>
      <c r="E365" s="7"/>
      <c r="F365" s="7"/>
      <c r="G365" s="7"/>
      <c r="H365" s="7"/>
      <c r="I365" s="7"/>
      <c r="J365" s="7"/>
      <c r="K365" s="7"/>
      <c r="L365" s="7"/>
    </row>
    <row r="366" spans="1:12" ht="17.25">
      <c r="A366" s="7"/>
      <c r="B366" s="7"/>
      <c r="C366" s="7"/>
      <c r="D366" s="7"/>
      <c r="E366" s="7"/>
      <c r="F366" s="7"/>
      <c r="G366" s="7"/>
      <c r="H366" s="7"/>
      <c r="I366" s="7"/>
      <c r="J366" s="7"/>
      <c r="K366" s="7"/>
      <c r="L366" s="7"/>
    </row>
    <row r="367" spans="1:12" ht="17.25">
      <c r="A367" s="7"/>
      <c r="B367" s="7"/>
      <c r="C367" s="7"/>
      <c r="D367" s="7"/>
      <c r="E367" s="7"/>
      <c r="F367" s="7"/>
      <c r="G367" s="7"/>
      <c r="H367" s="7"/>
      <c r="I367" s="7"/>
      <c r="J367" s="7"/>
      <c r="K367" s="7"/>
      <c r="L367" s="7"/>
    </row>
    <row r="368" spans="1:12" ht="17.25">
      <c r="A368" s="7"/>
      <c r="B368" s="7"/>
      <c r="C368" s="7"/>
      <c r="D368" s="7"/>
      <c r="E368" s="7"/>
      <c r="F368" s="7"/>
      <c r="G368" s="7"/>
      <c r="H368" s="7"/>
      <c r="I368" s="7"/>
      <c r="J368" s="7"/>
      <c r="K368" s="7"/>
      <c r="L368" s="7"/>
    </row>
    <row r="369" spans="1:12" ht="17.25">
      <c r="A369" s="7"/>
      <c r="B369" s="7"/>
      <c r="C369" s="7"/>
      <c r="D369" s="7"/>
      <c r="E369" s="7"/>
      <c r="F369" s="7"/>
      <c r="G369" s="7"/>
      <c r="H369" s="7"/>
      <c r="I369" s="7"/>
      <c r="J369" s="7"/>
      <c r="K369" s="7"/>
      <c r="L369" s="7"/>
    </row>
    <row r="370" spans="1:12" ht="17.25">
      <c r="A370" s="7"/>
      <c r="B370" s="7"/>
      <c r="C370" s="7"/>
      <c r="D370" s="7"/>
      <c r="E370" s="7"/>
      <c r="F370" s="7"/>
      <c r="G370" s="7"/>
      <c r="H370" s="7"/>
      <c r="I370" s="7"/>
      <c r="J370" s="7"/>
      <c r="K370" s="7"/>
      <c r="L370" s="7"/>
    </row>
    <row r="371" spans="1:12" ht="17.25">
      <c r="A371" s="7"/>
      <c r="B371" s="7"/>
      <c r="C371" s="7"/>
      <c r="D371" s="7"/>
      <c r="E371" s="7"/>
      <c r="F371" s="7"/>
      <c r="G371" s="7"/>
      <c r="H371" s="7"/>
      <c r="I371" s="7"/>
      <c r="J371" s="7"/>
      <c r="K371" s="7"/>
      <c r="L371" s="7"/>
    </row>
    <row r="372" spans="1:12" ht="17.25">
      <c r="A372" s="7"/>
      <c r="B372" s="7"/>
      <c r="C372" s="7"/>
      <c r="D372" s="7"/>
      <c r="E372" s="7"/>
      <c r="F372" s="7"/>
      <c r="G372" s="7"/>
      <c r="H372" s="7"/>
      <c r="I372" s="7"/>
      <c r="J372" s="7"/>
      <c r="K372" s="7"/>
      <c r="L372" s="7"/>
    </row>
    <row r="373" spans="1:12" ht="17.25">
      <c r="A373" s="7"/>
      <c r="B373" s="7"/>
      <c r="C373" s="7"/>
      <c r="D373" s="7"/>
      <c r="E373" s="7"/>
      <c r="F373" s="7"/>
      <c r="G373" s="7"/>
      <c r="H373" s="7"/>
      <c r="I373" s="7"/>
      <c r="J373" s="7"/>
      <c r="K373" s="7"/>
      <c r="L373" s="7"/>
    </row>
    <row r="374" spans="1:12" ht="17.25">
      <c r="A374" s="7"/>
      <c r="B374" s="7"/>
      <c r="C374" s="7"/>
      <c r="D374" s="7"/>
      <c r="E374" s="7"/>
      <c r="F374" s="7"/>
      <c r="G374" s="7"/>
      <c r="H374" s="7"/>
      <c r="I374" s="7"/>
      <c r="J374" s="7"/>
      <c r="K374" s="7"/>
      <c r="L374" s="7"/>
    </row>
    <row r="375" spans="1:12" ht="17.25">
      <c r="A375" s="7"/>
      <c r="B375" s="7"/>
      <c r="C375" s="7"/>
      <c r="D375" s="7"/>
      <c r="E375" s="7"/>
      <c r="F375" s="7"/>
      <c r="G375" s="7"/>
      <c r="H375" s="7"/>
      <c r="I375" s="7"/>
      <c r="J375" s="7"/>
      <c r="K375" s="7"/>
      <c r="L375" s="7"/>
    </row>
    <row r="376" spans="1:12" ht="17.25">
      <c r="A376" s="7"/>
      <c r="B376" s="7"/>
      <c r="C376" s="7"/>
      <c r="D376" s="7"/>
      <c r="E376" s="7"/>
      <c r="F376" s="7"/>
      <c r="G376" s="7"/>
      <c r="H376" s="7"/>
      <c r="I376" s="7"/>
      <c r="J376" s="7"/>
      <c r="K376" s="7"/>
      <c r="L376" s="7"/>
    </row>
    <row r="377" spans="1:12" ht="17.25">
      <c r="A377" s="7"/>
      <c r="B377" s="7"/>
      <c r="C377" s="7"/>
      <c r="D377" s="7"/>
      <c r="E377" s="7"/>
      <c r="F377" s="7"/>
      <c r="G377" s="7"/>
      <c r="H377" s="7"/>
      <c r="I377" s="7"/>
      <c r="J377" s="7"/>
      <c r="K377" s="7"/>
      <c r="L377" s="7"/>
    </row>
    <row r="378" spans="1:12" ht="17.25">
      <c r="A378" s="7"/>
      <c r="B378" s="7"/>
      <c r="C378" s="7"/>
      <c r="D378" s="7"/>
      <c r="E378" s="7"/>
      <c r="F378" s="7"/>
      <c r="G378" s="7"/>
      <c r="H378" s="7"/>
      <c r="I378" s="7"/>
      <c r="J378" s="7"/>
      <c r="K378" s="7"/>
      <c r="L378" s="7"/>
    </row>
    <row r="379" spans="1:12" ht="17.25">
      <c r="A379" s="7"/>
      <c r="B379" s="7"/>
      <c r="C379" s="7"/>
      <c r="D379" s="7"/>
      <c r="E379" s="7"/>
      <c r="F379" s="7"/>
      <c r="G379" s="7"/>
      <c r="H379" s="7"/>
      <c r="I379" s="7"/>
      <c r="J379" s="7"/>
      <c r="K379" s="7"/>
      <c r="L379" s="7"/>
    </row>
    <row r="380" spans="1:12" ht="17.25">
      <c r="A380" s="7"/>
      <c r="B380" s="7"/>
      <c r="C380" s="7"/>
      <c r="D380" s="7"/>
      <c r="E380" s="7"/>
      <c r="F380" s="7"/>
      <c r="G380" s="7"/>
      <c r="H380" s="7"/>
      <c r="I380" s="7"/>
      <c r="J380" s="7"/>
      <c r="K380" s="7"/>
      <c r="L380" s="7"/>
    </row>
    <row r="381" spans="1:12" ht="17.25">
      <c r="A381" s="7"/>
      <c r="B381" s="7"/>
      <c r="C381" s="7"/>
      <c r="D381" s="7"/>
      <c r="E381" s="7"/>
      <c r="F381" s="7"/>
      <c r="G381" s="7"/>
      <c r="H381" s="7"/>
      <c r="I381" s="7"/>
      <c r="J381" s="7"/>
      <c r="K381" s="7"/>
      <c r="L381" s="7"/>
    </row>
    <row r="382" spans="1:12" ht="17.25">
      <c r="A382" s="7"/>
      <c r="B382" s="7"/>
      <c r="C382" s="7"/>
      <c r="D382" s="7"/>
      <c r="E382" s="7"/>
      <c r="F382" s="7"/>
      <c r="G382" s="7"/>
      <c r="H382" s="7"/>
      <c r="I382" s="7"/>
      <c r="J382" s="7"/>
      <c r="K382" s="7"/>
      <c r="L382" s="7"/>
    </row>
    <row r="383" spans="1:12" ht="17.25">
      <c r="A383" s="7"/>
      <c r="B383" s="7"/>
      <c r="C383" s="7"/>
      <c r="D383" s="7"/>
      <c r="E383" s="7"/>
      <c r="F383" s="7"/>
      <c r="G383" s="7"/>
      <c r="H383" s="7"/>
      <c r="I383" s="7"/>
      <c r="J383" s="7"/>
      <c r="K383" s="7"/>
      <c r="L383" s="7"/>
    </row>
    <row r="384" spans="1:12" ht="17.25">
      <c r="A384" s="7"/>
      <c r="B384" s="7"/>
      <c r="C384" s="7"/>
      <c r="D384" s="7"/>
      <c r="E384" s="7"/>
      <c r="F384" s="7"/>
      <c r="G384" s="7"/>
      <c r="H384" s="7"/>
      <c r="I384" s="7"/>
      <c r="J384" s="7"/>
      <c r="K384" s="7"/>
      <c r="L384" s="7"/>
    </row>
    <row r="385" spans="1:12" ht="17.25">
      <c r="A385" s="7"/>
      <c r="B385" s="7"/>
      <c r="C385" s="7"/>
      <c r="D385" s="7"/>
      <c r="E385" s="7"/>
      <c r="F385" s="7"/>
      <c r="G385" s="7"/>
      <c r="H385" s="7"/>
      <c r="I385" s="7"/>
      <c r="J385" s="7"/>
      <c r="K385" s="7"/>
      <c r="L385" s="7"/>
    </row>
    <row r="386" spans="1:12" ht="17.25">
      <c r="A386" s="7"/>
      <c r="B386" s="7"/>
      <c r="C386" s="7"/>
      <c r="D386" s="7"/>
      <c r="E386" s="7"/>
      <c r="F386" s="7"/>
      <c r="G386" s="7"/>
      <c r="H386" s="7"/>
      <c r="I386" s="7"/>
      <c r="J386" s="7"/>
      <c r="K386" s="7"/>
      <c r="L386" s="7"/>
    </row>
    <row r="387" spans="1:12" ht="17.25">
      <c r="A387" s="7"/>
      <c r="B387" s="7"/>
      <c r="C387" s="7"/>
      <c r="D387" s="7"/>
      <c r="E387" s="7"/>
      <c r="F387" s="7"/>
      <c r="G387" s="7"/>
      <c r="H387" s="7"/>
      <c r="I387" s="7"/>
      <c r="J387" s="7"/>
      <c r="K387" s="7"/>
      <c r="L387" s="7"/>
    </row>
    <row r="388" spans="1:12" ht="17.25">
      <c r="A388" s="7"/>
      <c r="B388" s="7"/>
      <c r="C388" s="7"/>
      <c r="D388" s="7"/>
      <c r="E388" s="7"/>
      <c r="F388" s="7"/>
      <c r="G388" s="7"/>
      <c r="H388" s="7"/>
      <c r="I388" s="7"/>
      <c r="J388" s="7"/>
      <c r="K388" s="7"/>
      <c r="L388" s="7"/>
    </row>
    <row r="389" spans="1:12" ht="17.25">
      <c r="A389" s="7"/>
      <c r="B389" s="7"/>
      <c r="C389" s="7"/>
      <c r="D389" s="7"/>
      <c r="E389" s="7"/>
      <c r="F389" s="7"/>
      <c r="G389" s="7"/>
      <c r="H389" s="7"/>
      <c r="I389" s="7"/>
      <c r="J389" s="7"/>
      <c r="K389" s="7"/>
      <c r="L389" s="7"/>
    </row>
    <row r="390" spans="1:12" ht="17.25">
      <c r="A390" s="7"/>
      <c r="B390" s="7"/>
      <c r="C390" s="7"/>
      <c r="D390" s="7"/>
      <c r="E390" s="7"/>
      <c r="F390" s="7"/>
      <c r="G390" s="7"/>
      <c r="H390" s="7"/>
      <c r="I390" s="7"/>
      <c r="J390" s="7"/>
      <c r="K390" s="7"/>
      <c r="L390" s="7"/>
    </row>
    <row r="391" spans="1:12" ht="17.25">
      <c r="A391" s="7"/>
      <c r="B391" s="7"/>
      <c r="C391" s="7"/>
      <c r="D391" s="7"/>
      <c r="E391" s="7"/>
      <c r="F391" s="7"/>
      <c r="G391" s="7"/>
      <c r="H391" s="7"/>
      <c r="I391" s="7"/>
      <c r="J391" s="7"/>
      <c r="K391" s="7"/>
      <c r="L391" s="7"/>
    </row>
    <row r="392" spans="1:12" ht="17.25">
      <c r="A392" s="7"/>
      <c r="B392" s="7"/>
      <c r="C392" s="7"/>
      <c r="D392" s="7"/>
      <c r="E392" s="7"/>
      <c r="F392" s="7"/>
      <c r="G392" s="7"/>
      <c r="H392" s="7"/>
      <c r="I392" s="7"/>
      <c r="J392" s="7"/>
      <c r="K392" s="7"/>
      <c r="L392" s="7"/>
    </row>
    <row r="393" spans="1:12" ht="17.25">
      <c r="A393" s="7"/>
      <c r="B393" s="7"/>
      <c r="C393" s="7"/>
      <c r="D393" s="7"/>
      <c r="E393" s="7"/>
      <c r="F393" s="7"/>
      <c r="G393" s="7"/>
      <c r="H393" s="7"/>
      <c r="I393" s="7"/>
      <c r="J393" s="7"/>
      <c r="K393" s="7"/>
      <c r="L393" s="7"/>
    </row>
    <row r="394" spans="1:12" ht="17.25">
      <c r="A394" s="7"/>
      <c r="B394" s="7"/>
      <c r="C394" s="7"/>
      <c r="D394" s="7"/>
      <c r="E394" s="7"/>
      <c r="F394" s="7"/>
      <c r="G394" s="7"/>
      <c r="H394" s="7"/>
      <c r="I394" s="7"/>
      <c r="J394" s="7"/>
      <c r="K394" s="7"/>
      <c r="L394" s="7"/>
    </row>
    <row r="395" spans="1:12" ht="17.25">
      <c r="A395" s="7"/>
      <c r="B395" s="7"/>
      <c r="C395" s="7"/>
      <c r="D395" s="7"/>
      <c r="E395" s="7"/>
      <c r="F395" s="7"/>
      <c r="G395" s="7"/>
      <c r="H395" s="7"/>
      <c r="I395" s="7"/>
      <c r="J395" s="7"/>
      <c r="K395" s="7"/>
      <c r="L395" s="7"/>
    </row>
    <row r="396" spans="1:12" ht="17.25">
      <c r="A396" s="7"/>
      <c r="B396" s="7"/>
      <c r="C396" s="7"/>
      <c r="D396" s="7"/>
      <c r="E396" s="7"/>
      <c r="F396" s="7"/>
      <c r="G396" s="7"/>
      <c r="H396" s="7"/>
      <c r="I396" s="7"/>
      <c r="J396" s="7"/>
      <c r="K396" s="7"/>
      <c r="L396" s="7"/>
    </row>
    <row r="397" spans="1:12" ht="17.25">
      <c r="A397" s="7"/>
      <c r="B397" s="7"/>
      <c r="C397" s="7"/>
      <c r="D397" s="7"/>
      <c r="E397" s="7"/>
      <c r="F397" s="7"/>
      <c r="G397" s="7"/>
      <c r="H397" s="7"/>
      <c r="I397" s="7"/>
      <c r="J397" s="7"/>
      <c r="K397" s="7"/>
      <c r="L397" s="7"/>
    </row>
    <row r="398" spans="1:12" ht="17.25">
      <c r="A398" s="7"/>
      <c r="B398" s="7"/>
      <c r="C398" s="7"/>
      <c r="D398" s="7"/>
      <c r="E398" s="7"/>
      <c r="F398" s="7"/>
      <c r="G398" s="7"/>
      <c r="H398" s="7"/>
      <c r="I398" s="7"/>
      <c r="J398" s="7"/>
      <c r="K398" s="7"/>
      <c r="L398" s="7"/>
    </row>
    <row r="399" spans="1:12" ht="17.25">
      <c r="A399" s="7"/>
      <c r="B399" s="7"/>
      <c r="C399" s="7"/>
      <c r="D399" s="7"/>
      <c r="E399" s="7"/>
      <c r="F399" s="7"/>
      <c r="G399" s="7"/>
      <c r="H399" s="7"/>
      <c r="I399" s="7"/>
      <c r="J399" s="7"/>
      <c r="K399" s="7"/>
      <c r="L399" s="7"/>
    </row>
    <row r="400" spans="1:12" ht="17.25">
      <c r="A400" s="7"/>
      <c r="B400" s="7"/>
      <c r="C400" s="7"/>
      <c r="D400" s="7"/>
      <c r="E400" s="7"/>
      <c r="F400" s="7"/>
      <c r="G400" s="7"/>
      <c r="H400" s="7"/>
      <c r="I400" s="7"/>
      <c r="J400" s="7"/>
      <c r="K400" s="7"/>
      <c r="L400" s="7"/>
    </row>
    <row r="401" spans="1:12" ht="17.25">
      <c r="A401" s="7"/>
      <c r="B401" s="7"/>
      <c r="C401" s="7"/>
      <c r="D401" s="7"/>
      <c r="E401" s="7"/>
      <c r="F401" s="7"/>
      <c r="G401" s="7"/>
      <c r="H401" s="7"/>
      <c r="I401" s="7"/>
      <c r="J401" s="7"/>
      <c r="K401" s="7"/>
      <c r="L401" s="7"/>
    </row>
    <row r="402" spans="1:12" ht="17.25">
      <c r="A402" s="7"/>
      <c r="B402" s="7"/>
      <c r="C402" s="7"/>
      <c r="D402" s="7"/>
      <c r="E402" s="7"/>
      <c r="F402" s="7"/>
      <c r="G402" s="7"/>
      <c r="H402" s="7"/>
      <c r="I402" s="7"/>
      <c r="J402" s="7"/>
      <c r="K402" s="7"/>
      <c r="L402" s="7"/>
    </row>
    <row r="403" spans="1:12" ht="17.25">
      <c r="A403" s="7"/>
      <c r="B403" s="7"/>
      <c r="C403" s="7"/>
      <c r="D403" s="7"/>
      <c r="E403" s="7"/>
      <c r="F403" s="7"/>
      <c r="G403" s="7"/>
      <c r="H403" s="7"/>
      <c r="I403" s="7"/>
      <c r="J403" s="7"/>
      <c r="K403" s="7"/>
      <c r="L403" s="7"/>
    </row>
    <row r="404" spans="1:12" ht="17.25">
      <c r="A404" s="7"/>
      <c r="B404" s="7"/>
      <c r="C404" s="7"/>
      <c r="D404" s="7"/>
      <c r="E404" s="7"/>
      <c r="F404" s="7"/>
      <c r="G404" s="7"/>
      <c r="H404" s="7"/>
      <c r="I404" s="7"/>
      <c r="J404" s="7"/>
      <c r="K404" s="7"/>
      <c r="L404" s="7"/>
    </row>
    <row r="405" spans="1:12" ht="17.25">
      <c r="A405" s="7"/>
      <c r="B405" s="7"/>
      <c r="C405" s="7"/>
      <c r="D405" s="7"/>
      <c r="E405" s="7"/>
      <c r="F405" s="7"/>
      <c r="G405" s="7"/>
      <c r="H405" s="7"/>
      <c r="I405" s="7"/>
      <c r="J405" s="7"/>
      <c r="K405" s="7"/>
      <c r="L405" s="7"/>
    </row>
    <row r="406" spans="1:12" ht="17.25">
      <c r="A406" s="7"/>
      <c r="B406" s="7"/>
      <c r="C406" s="7"/>
      <c r="D406" s="7"/>
      <c r="E406" s="7"/>
      <c r="F406" s="7"/>
      <c r="G406" s="7"/>
      <c r="H406" s="7"/>
      <c r="I406" s="7"/>
      <c r="J406" s="7"/>
      <c r="K406" s="7"/>
      <c r="L406" s="7"/>
    </row>
    <row r="407" spans="1:12" ht="17.25">
      <c r="A407" s="7"/>
      <c r="B407" s="7"/>
      <c r="C407" s="7"/>
      <c r="D407" s="7"/>
      <c r="E407" s="7"/>
      <c r="F407" s="7"/>
      <c r="G407" s="7"/>
      <c r="H407" s="7"/>
      <c r="I407" s="7"/>
      <c r="J407" s="7"/>
      <c r="K407" s="7"/>
      <c r="L407" s="7"/>
    </row>
    <row r="408" spans="1:12" ht="17.25">
      <c r="A408" s="7"/>
      <c r="B408" s="7"/>
      <c r="C408" s="7"/>
      <c r="D408" s="7"/>
      <c r="E408" s="7"/>
      <c r="F408" s="7"/>
      <c r="G408" s="7"/>
      <c r="H408" s="7"/>
      <c r="I408" s="7"/>
      <c r="J408" s="7"/>
      <c r="K408" s="7"/>
      <c r="L408" s="7"/>
    </row>
    <row r="409" spans="1:12" ht="17.25">
      <c r="A409" s="7"/>
      <c r="B409" s="7"/>
      <c r="C409" s="7"/>
      <c r="D409" s="7"/>
      <c r="E409" s="7"/>
      <c r="F409" s="7"/>
      <c r="G409" s="7"/>
      <c r="H409" s="7"/>
      <c r="I409" s="7"/>
      <c r="J409" s="7"/>
      <c r="K409" s="7"/>
      <c r="L409" s="7"/>
    </row>
    <row r="410" spans="1:12" ht="17.25">
      <c r="A410" s="7"/>
      <c r="B410" s="7"/>
      <c r="C410" s="7"/>
      <c r="D410" s="7"/>
      <c r="E410" s="7"/>
      <c r="F410" s="7"/>
      <c r="G410" s="7"/>
      <c r="H410" s="7"/>
      <c r="I410" s="7"/>
      <c r="J410" s="7"/>
      <c r="K410" s="7"/>
      <c r="L410" s="7"/>
    </row>
    <row r="411" spans="1:12" ht="17.25">
      <c r="A411" s="7"/>
      <c r="B411" s="7"/>
      <c r="C411" s="7"/>
      <c r="D411" s="7"/>
      <c r="E411" s="7"/>
      <c r="F411" s="7"/>
      <c r="G411" s="7"/>
      <c r="H411" s="7"/>
      <c r="I411" s="7"/>
      <c r="J411" s="7"/>
      <c r="K411" s="7"/>
      <c r="L411" s="7"/>
    </row>
    <row r="412" spans="1:12" ht="17.25">
      <c r="A412" s="7"/>
      <c r="B412" s="7"/>
      <c r="C412" s="7"/>
      <c r="D412" s="7"/>
      <c r="E412" s="7"/>
      <c r="F412" s="7"/>
      <c r="G412" s="7"/>
      <c r="H412" s="7"/>
      <c r="I412" s="7"/>
      <c r="J412" s="7"/>
      <c r="K412" s="7"/>
      <c r="L412" s="7"/>
    </row>
    <row r="413" spans="1:12" ht="17.25">
      <c r="A413" s="7"/>
      <c r="B413" s="7"/>
      <c r="C413" s="7"/>
      <c r="D413" s="7"/>
      <c r="E413" s="7"/>
      <c r="F413" s="7"/>
      <c r="G413" s="7"/>
      <c r="H413" s="7"/>
      <c r="I413" s="7"/>
      <c r="J413" s="7"/>
      <c r="K413" s="7"/>
      <c r="L413" s="7"/>
    </row>
    <row r="414" spans="1:12" ht="17.25">
      <c r="A414" s="7"/>
      <c r="B414" s="7"/>
      <c r="C414" s="7"/>
      <c r="D414" s="7"/>
      <c r="E414" s="7"/>
      <c r="F414" s="7"/>
      <c r="G414" s="7"/>
      <c r="H414" s="7"/>
      <c r="I414" s="7"/>
      <c r="J414" s="7"/>
      <c r="K414" s="7"/>
      <c r="L414" s="7"/>
    </row>
    <row r="415" spans="1:12" ht="17.25">
      <c r="A415" s="7"/>
      <c r="B415" s="7"/>
      <c r="C415" s="7"/>
      <c r="D415" s="7"/>
      <c r="E415" s="7"/>
      <c r="F415" s="7"/>
      <c r="G415" s="7"/>
      <c r="H415" s="7"/>
      <c r="I415" s="7"/>
      <c r="J415" s="7"/>
      <c r="K415" s="7"/>
      <c r="L415" s="7"/>
    </row>
    <row r="416" spans="1:12" ht="17.25">
      <c r="A416" s="7"/>
      <c r="B416" s="7"/>
      <c r="C416" s="7"/>
      <c r="D416" s="7"/>
      <c r="E416" s="7"/>
      <c r="F416" s="7"/>
      <c r="G416" s="7"/>
      <c r="H416" s="7"/>
      <c r="I416" s="7"/>
      <c r="J416" s="7"/>
      <c r="K416" s="7"/>
      <c r="L416" s="7"/>
    </row>
    <row r="417" spans="1:12" ht="17.25">
      <c r="A417" s="7"/>
      <c r="B417" s="7"/>
      <c r="C417" s="7"/>
      <c r="D417" s="7"/>
      <c r="E417" s="7"/>
      <c r="F417" s="7"/>
      <c r="G417" s="7"/>
      <c r="H417" s="7"/>
      <c r="I417" s="7"/>
      <c r="J417" s="7"/>
      <c r="K417" s="7"/>
      <c r="L417" s="7"/>
    </row>
    <row r="418" spans="1:12" ht="17.25">
      <c r="A418" s="7"/>
      <c r="B418" s="7"/>
      <c r="C418" s="7"/>
      <c r="D418" s="7"/>
      <c r="E418" s="7"/>
      <c r="F418" s="7"/>
      <c r="G418" s="7"/>
      <c r="H418" s="7"/>
      <c r="I418" s="7"/>
      <c r="J418" s="7"/>
      <c r="K418" s="7"/>
      <c r="L418" s="7"/>
    </row>
    <row r="419" spans="1:12" ht="17.25">
      <c r="A419" s="7"/>
      <c r="B419" s="7"/>
      <c r="C419" s="7"/>
      <c r="D419" s="7"/>
      <c r="E419" s="7"/>
      <c r="F419" s="7"/>
      <c r="G419" s="7"/>
      <c r="H419" s="7"/>
      <c r="I419" s="7"/>
      <c r="J419" s="7"/>
      <c r="K419" s="7"/>
      <c r="L419" s="7"/>
    </row>
    <row r="420" spans="1:12" ht="17.25">
      <c r="A420" s="7"/>
      <c r="B420" s="7"/>
      <c r="C420" s="7"/>
      <c r="D420" s="7"/>
      <c r="E420" s="7"/>
      <c r="F420" s="7"/>
      <c r="G420" s="7"/>
      <c r="H420" s="7"/>
      <c r="I420" s="7"/>
      <c r="J420" s="7"/>
      <c r="K420" s="7"/>
      <c r="L420" s="7"/>
    </row>
    <row r="421" spans="1:12" ht="17.25">
      <c r="A421" s="7"/>
      <c r="B421" s="7"/>
      <c r="C421" s="7"/>
      <c r="D421" s="7"/>
      <c r="E421" s="7"/>
      <c r="F421" s="7"/>
      <c r="G421" s="7"/>
      <c r="H421" s="7"/>
      <c r="I421" s="7"/>
      <c r="J421" s="7"/>
      <c r="K421" s="7"/>
      <c r="L421" s="7"/>
    </row>
    <row r="422" spans="1:12" ht="17.25">
      <c r="A422" s="7"/>
      <c r="B422" s="7"/>
      <c r="C422" s="7"/>
      <c r="D422" s="7"/>
      <c r="E422" s="7"/>
      <c r="F422" s="7"/>
      <c r="G422" s="7"/>
      <c r="H422" s="7"/>
      <c r="I422" s="7"/>
      <c r="J422" s="7"/>
      <c r="K422" s="7"/>
      <c r="L422" s="7"/>
    </row>
    <row r="423" spans="1:12" ht="17.25">
      <c r="A423" s="7"/>
      <c r="B423" s="7"/>
      <c r="C423" s="7"/>
      <c r="D423" s="7"/>
      <c r="E423" s="7"/>
      <c r="F423" s="7"/>
      <c r="G423" s="7"/>
      <c r="H423" s="7"/>
      <c r="I423" s="7"/>
      <c r="J423" s="7"/>
      <c r="K423" s="7"/>
      <c r="L423" s="7"/>
    </row>
    <row r="424" spans="1:12" ht="17.25">
      <c r="A424" s="7"/>
      <c r="B424" s="7"/>
      <c r="C424" s="7"/>
      <c r="D424" s="7"/>
      <c r="E424" s="7"/>
      <c r="F424" s="7"/>
      <c r="G424" s="7"/>
      <c r="H424" s="7"/>
      <c r="I424" s="7"/>
      <c r="J424" s="7"/>
      <c r="K424" s="7"/>
      <c r="L424" s="7"/>
    </row>
    <row r="425" spans="1:12" ht="17.25">
      <c r="A425" s="7"/>
      <c r="B425" s="7"/>
      <c r="C425" s="7"/>
      <c r="D425" s="7"/>
      <c r="E425" s="7"/>
      <c r="F425" s="7"/>
      <c r="G425" s="7"/>
      <c r="H425" s="7"/>
      <c r="I425" s="7"/>
      <c r="J425" s="7"/>
      <c r="K425" s="7"/>
      <c r="L425" s="7"/>
    </row>
    <row r="426" spans="1:12" ht="17.25">
      <c r="A426" s="7"/>
      <c r="B426" s="7"/>
      <c r="C426" s="7"/>
      <c r="D426" s="7"/>
      <c r="E426" s="7"/>
      <c r="F426" s="7"/>
      <c r="G426" s="7"/>
      <c r="H426" s="7"/>
      <c r="I426" s="7"/>
      <c r="J426" s="7"/>
      <c r="K426" s="7"/>
      <c r="L426" s="7"/>
    </row>
    <row r="427" spans="1:12" ht="17.25">
      <c r="A427" s="7"/>
      <c r="B427" s="7"/>
      <c r="C427" s="7"/>
      <c r="D427" s="7"/>
      <c r="E427" s="7"/>
      <c r="F427" s="7"/>
      <c r="G427" s="7"/>
      <c r="H427" s="7"/>
      <c r="I427" s="7"/>
      <c r="J427" s="7"/>
      <c r="K427" s="7"/>
      <c r="L427" s="7"/>
    </row>
    <row r="428" spans="1:12" ht="17.25">
      <c r="A428" s="7"/>
      <c r="B428" s="7"/>
      <c r="C428" s="7"/>
      <c r="D428" s="7"/>
      <c r="E428" s="7"/>
      <c r="F428" s="7"/>
      <c r="G428" s="7"/>
      <c r="H428" s="7"/>
      <c r="I428" s="7"/>
      <c r="J428" s="7"/>
      <c r="K428" s="7"/>
      <c r="L428" s="7"/>
    </row>
    <row r="429" spans="1:12" ht="17.25">
      <c r="A429" s="7"/>
      <c r="B429" s="7"/>
      <c r="C429" s="7"/>
      <c r="D429" s="7"/>
      <c r="E429" s="7"/>
      <c r="F429" s="7"/>
      <c r="G429" s="7"/>
      <c r="H429" s="7"/>
      <c r="I429" s="7"/>
      <c r="J429" s="7"/>
      <c r="K429" s="7"/>
      <c r="L429" s="7"/>
    </row>
    <row r="430" spans="1:12" ht="17.25">
      <c r="A430" s="7"/>
      <c r="B430" s="7"/>
      <c r="C430" s="7"/>
      <c r="D430" s="7"/>
      <c r="E430" s="7"/>
      <c r="F430" s="7"/>
      <c r="G430" s="7"/>
      <c r="H430" s="7"/>
      <c r="I430" s="7"/>
      <c r="J430" s="7"/>
      <c r="K430" s="7"/>
      <c r="L430" s="7"/>
    </row>
    <row r="431" spans="1:12" ht="17.25">
      <c r="A431" s="7"/>
      <c r="B431" s="7"/>
      <c r="C431" s="7"/>
      <c r="D431" s="7"/>
      <c r="E431" s="7"/>
      <c r="F431" s="7"/>
      <c r="G431" s="7"/>
      <c r="H431" s="7"/>
      <c r="I431" s="7"/>
      <c r="J431" s="7"/>
      <c r="K431" s="7"/>
      <c r="L431" s="7"/>
    </row>
    <row r="432" spans="1:12" ht="17.25">
      <c r="A432" s="7"/>
      <c r="B432" s="7"/>
      <c r="C432" s="7"/>
      <c r="D432" s="7"/>
      <c r="E432" s="7"/>
      <c r="F432" s="7"/>
      <c r="G432" s="7"/>
      <c r="H432" s="7"/>
      <c r="I432" s="7"/>
      <c r="J432" s="7"/>
      <c r="K432" s="7"/>
      <c r="L432" s="7"/>
    </row>
    <row r="433" spans="1:12" ht="17.25">
      <c r="A433" s="7"/>
      <c r="B433" s="7"/>
      <c r="C433" s="7"/>
      <c r="D433" s="7"/>
      <c r="E433" s="7"/>
      <c r="F433" s="7"/>
      <c r="G433" s="7"/>
      <c r="H433" s="7"/>
      <c r="I433" s="7"/>
      <c r="J433" s="7"/>
      <c r="K433" s="7"/>
      <c r="L433" s="7"/>
    </row>
    <row r="434" spans="1:12" ht="17.25">
      <c r="A434" s="7"/>
      <c r="B434" s="7"/>
      <c r="C434" s="7"/>
      <c r="D434" s="7"/>
      <c r="E434" s="7"/>
      <c r="F434" s="7"/>
      <c r="G434" s="7"/>
      <c r="H434" s="7"/>
      <c r="I434" s="7"/>
      <c r="J434" s="7"/>
      <c r="K434" s="7"/>
      <c r="L434" s="7"/>
    </row>
    <row r="435" spans="1:12" ht="17.25">
      <c r="A435" s="7"/>
      <c r="B435" s="7"/>
      <c r="C435" s="7"/>
      <c r="D435" s="7"/>
      <c r="E435" s="7"/>
      <c r="F435" s="7"/>
      <c r="G435" s="7"/>
      <c r="H435" s="7"/>
      <c r="I435" s="7"/>
      <c r="J435" s="7"/>
      <c r="K435" s="7"/>
      <c r="L435" s="7"/>
    </row>
    <row r="436" spans="1:12" ht="17.25">
      <c r="A436" s="7"/>
      <c r="B436" s="7"/>
      <c r="C436" s="7"/>
      <c r="D436" s="7"/>
      <c r="E436" s="7"/>
      <c r="F436" s="7"/>
      <c r="G436" s="7"/>
      <c r="H436" s="7"/>
      <c r="I436" s="7"/>
      <c r="J436" s="7"/>
      <c r="K436" s="7"/>
      <c r="L436" s="7"/>
    </row>
    <row r="437" spans="1:12" ht="17.25">
      <c r="A437" s="7"/>
      <c r="B437" s="7"/>
      <c r="C437" s="7"/>
      <c r="D437" s="7"/>
      <c r="E437" s="7"/>
      <c r="F437" s="7"/>
      <c r="G437" s="7"/>
      <c r="H437" s="7"/>
      <c r="I437" s="7"/>
      <c r="J437" s="7"/>
      <c r="K437" s="7"/>
      <c r="L437" s="7"/>
    </row>
    <row r="438" spans="1:12" ht="17.25">
      <c r="A438" s="7"/>
      <c r="B438" s="7"/>
      <c r="C438" s="7"/>
      <c r="D438" s="7"/>
      <c r="E438" s="7"/>
      <c r="F438" s="7"/>
      <c r="G438" s="7"/>
      <c r="H438" s="7"/>
      <c r="I438" s="7"/>
      <c r="J438" s="7"/>
      <c r="K438" s="7"/>
      <c r="L438" s="7"/>
    </row>
    <row r="439" spans="1:12" ht="17.25">
      <c r="A439" s="7"/>
      <c r="B439" s="7"/>
      <c r="C439" s="7"/>
      <c r="D439" s="7"/>
      <c r="E439" s="7"/>
      <c r="F439" s="7"/>
      <c r="G439" s="7"/>
      <c r="H439" s="7"/>
      <c r="I439" s="7"/>
      <c r="J439" s="7"/>
      <c r="K439" s="7"/>
      <c r="L439" s="7"/>
    </row>
    <row r="440" spans="1:12" ht="17.25">
      <c r="A440" s="7"/>
      <c r="B440" s="7"/>
      <c r="C440" s="7"/>
      <c r="D440" s="7"/>
      <c r="E440" s="7"/>
      <c r="F440" s="7"/>
      <c r="G440" s="7"/>
      <c r="H440" s="7"/>
      <c r="I440" s="7"/>
      <c r="J440" s="7"/>
      <c r="K440" s="7"/>
      <c r="L440" s="7"/>
    </row>
    <row r="441" spans="1:12" ht="17.25">
      <c r="A441" s="7"/>
      <c r="B441" s="7"/>
      <c r="C441" s="7"/>
      <c r="D441" s="7"/>
      <c r="E441" s="7"/>
      <c r="F441" s="7"/>
      <c r="G441" s="7"/>
      <c r="H441" s="7"/>
      <c r="I441" s="7"/>
      <c r="J441" s="7"/>
      <c r="K441" s="7"/>
      <c r="L441" s="7"/>
    </row>
    <row r="442" spans="1:12" ht="17.25">
      <c r="A442" s="7"/>
      <c r="B442" s="7"/>
      <c r="C442" s="7"/>
      <c r="D442" s="7"/>
      <c r="E442" s="7"/>
      <c r="F442" s="7"/>
      <c r="G442" s="7"/>
      <c r="H442" s="7"/>
      <c r="I442" s="7"/>
      <c r="J442" s="7"/>
      <c r="K442" s="7"/>
      <c r="L442" s="7"/>
    </row>
    <row r="443" spans="1:12" ht="17.25">
      <c r="A443" s="7"/>
      <c r="B443" s="7"/>
      <c r="C443" s="7"/>
      <c r="D443" s="7"/>
      <c r="E443" s="7"/>
      <c r="F443" s="7"/>
      <c r="G443" s="7"/>
      <c r="H443" s="7"/>
      <c r="I443" s="7"/>
      <c r="J443" s="7"/>
      <c r="K443" s="7"/>
      <c r="L443" s="7"/>
    </row>
    <row r="444" spans="1:12" ht="17.25">
      <c r="A444" s="7"/>
      <c r="B444" s="7"/>
      <c r="C444" s="7"/>
      <c r="D444" s="7"/>
      <c r="E444" s="7"/>
      <c r="F444" s="7"/>
      <c r="G444" s="7"/>
      <c r="H444" s="7"/>
      <c r="I444" s="7"/>
      <c r="J444" s="7"/>
      <c r="K444" s="7"/>
      <c r="L444" s="7"/>
    </row>
    <row r="445" spans="1:12" ht="17.25">
      <c r="A445" s="7"/>
      <c r="B445" s="7"/>
      <c r="C445" s="7"/>
      <c r="D445" s="7"/>
      <c r="E445" s="7"/>
      <c r="F445" s="7"/>
      <c r="G445" s="7"/>
      <c r="H445" s="7"/>
      <c r="I445" s="7"/>
      <c r="J445" s="7"/>
      <c r="K445" s="7"/>
      <c r="L445" s="7"/>
    </row>
    <row r="446" spans="1:12" ht="17.25">
      <c r="A446" s="7"/>
      <c r="B446" s="7"/>
      <c r="C446" s="7"/>
      <c r="D446" s="7"/>
      <c r="E446" s="7"/>
      <c r="F446" s="7"/>
      <c r="G446" s="7"/>
      <c r="H446" s="7"/>
      <c r="I446" s="7"/>
      <c r="J446" s="7"/>
      <c r="K446" s="7"/>
      <c r="L446" s="7"/>
    </row>
    <row r="447" spans="1:12" ht="17.25">
      <c r="A447" s="7"/>
      <c r="B447" s="7"/>
      <c r="C447" s="7"/>
      <c r="D447" s="7"/>
      <c r="E447" s="7"/>
      <c r="F447" s="7"/>
      <c r="G447" s="7"/>
      <c r="H447" s="7"/>
      <c r="I447" s="7"/>
      <c r="J447" s="7"/>
      <c r="K447" s="7"/>
      <c r="L447" s="7"/>
    </row>
    <row r="448" spans="1:12" ht="17.25">
      <c r="A448" s="7"/>
      <c r="B448" s="7"/>
      <c r="C448" s="7"/>
      <c r="D448" s="7"/>
      <c r="E448" s="7"/>
      <c r="F448" s="7"/>
      <c r="G448" s="7"/>
      <c r="H448" s="7"/>
      <c r="I448" s="7"/>
      <c r="J448" s="7"/>
      <c r="K448" s="7"/>
      <c r="L448" s="7"/>
    </row>
    <row r="449" spans="1:12" ht="17.25">
      <c r="A449" s="7"/>
      <c r="B449" s="7"/>
      <c r="C449" s="7"/>
      <c r="D449" s="7"/>
      <c r="E449" s="7"/>
      <c r="F449" s="7"/>
      <c r="G449" s="7"/>
      <c r="H449" s="7"/>
      <c r="I449" s="7"/>
      <c r="J449" s="7"/>
      <c r="K449" s="7"/>
      <c r="L449" s="7"/>
    </row>
  </sheetData>
  <hyperlinks>
    <hyperlink ref="A2" location="SF.1.A!A1" display="SF.1.A!A1" xr:uid="{8F98D504-5A5C-4C0E-B90B-D17166A9D53A}"/>
    <hyperlink ref="A3" location="SF.1.B!A1" display="SF.1.B!A1" xr:uid="{C694C3C5-155F-45E5-93F7-E80801848DC5}"/>
    <hyperlink ref="A4" location="SF.1.C!A1" display="SF.1.C!A1" xr:uid="{690BF505-4E0A-4C34-8C1B-567780BB35A8}"/>
    <hyperlink ref="A5" location="SF.1.D!A1" display="SF.1.D!A1" xr:uid="{A3F9DA9B-E798-40F9-AD5C-25826560D442}"/>
    <hyperlink ref="A8" location="SF.2.A!A1" display="SF.2.A!A1" xr:uid="{4969BE02-363B-4157-B2C4-643EA0282903}"/>
    <hyperlink ref="A9" location="SF.2.B!A1" display="SF.2.B!A1" xr:uid="{EA2CFFE6-D97E-4036-AC82-6C15CC5D8033}"/>
    <hyperlink ref="A12" location="SF.3.A!A1" display="SF.3.A!A1" xr:uid="{962A5BE9-CB69-4899-AC9E-3D03B3DE77C5}"/>
    <hyperlink ref="A13" location="SF.3.B!A1" display="SF.3.B!A1" xr:uid="{F2EBE2F2-DE0A-4004-ACF7-CE61E68A6538}"/>
    <hyperlink ref="A14" location="SF.3.C!A1" display="SF.3.C!A1" xr:uid="{CCC96C1B-8356-40F6-9D52-0D25580879DD}"/>
    <hyperlink ref="A15" location="SF.3.D!A1" display="SF.3.D!A1" xr:uid="{C231A7CD-C321-47D1-83A8-66D78BA985CA}"/>
    <hyperlink ref="A18" location="SF.4.A!A1" display="SF.4.A!A1" xr:uid="{6ACBE524-2069-4607-BD78-0A2E766CDAED}"/>
    <hyperlink ref="A19" location="SF.4.B!A1" display="SF.4.B!A1" xr:uid="{7108A6CD-0E02-4977-8D6C-DDFA8B20B013}"/>
    <hyperlink ref="A20" location="SF.4.C!A1" display="SF.4.C!A1" xr:uid="{3F9AA67E-EBAA-4F6E-92CE-893A39A9281F}"/>
    <hyperlink ref="A21" location="SF.4.D!A1" display="SF.4.D!A1" xr:uid="{98C0D86E-0D0D-4081-B6EF-1975F860A08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25FD5-888E-4E6B-9524-1750160B7F0F}">
  <dimension ref="A1:V166"/>
  <sheetViews>
    <sheetView zoomScale="70" zoomScaleNormal="70" workbookViewId="0">
      <selection activeCell="I46" sqref="I46"/>
    </sheetView>
  </sheetViews>
  <sheetFormatPr defaultColWidth="9.1328125" defaultRowHeight="18"/>
  <cols>
    <col min="1" max="16" width="9.1328125" style="12"/>
    <col min="17" max="17" width="11" style="12" customWidth="1"/>
    <col min="18" max="19" width="9.1328125" style="12"/>
    <col min="20" max="20" width="10.265625" style="3" customWidth="1"/>
    <col min="21" max="22" width="9.1328125" style="3"/>
    <col min="23" max="16384" width="9.1328125" style="12"/>
  </cols>
  <sheetData>
    <row r="1" spans="1:22" s="14" customFormat="1" ht="25.5">
      <c r="A1" s="2" t="s">
        <v>2</v>
      </c>
      <c r="T1" s="1"/>
      <c r="U1" s="1"/>
      <c r="V1" s="1"/>
    </row>
    <row r="2" spans="1:22">
      <c r="Q2" s="3" t="s">
        <v>0</v>
      </c>
      <c r="R2" s="3" t="s">
        <v>64</v>
      </c>
      <c r="S2" s="3" t="s">
        <v>12</v>
      </c>
    </row>
    <row r="3" spans="1:22">
      <c r="Q3" s="10">
        <v>31107</v>
      </c>
      <c r="R3" s="13">
        <v>27.1</v>
      </c>
      <c r="S3" s="3">
        <v>0</v>
      </c>
    </row>
    <row r="4" spans="1:22">
      <c r="Q4" s="10">
        <v>31199</v>
      </c>
      <c r="R4" s="13">
        <v>27.9</v>
      </c>
      <c r="S4" s="3">
        <v>0</v>
      </c>
    </row>
    <row r="5" spans="1:22">
      <c r="Q5" s="10">
        <v>31291</v>
      </c>
      <c r="R5" s="13">
        <v>27.8</v>
      </c>
      <c r="S5" s="3">
        <v>0</v>
      </c>
    </row>
    <row r="6" spans="1:22">
      <c r="Q6" s="10">
        <v>31382</v>
      </c>
      <c r="R6" s="13">
        <v>29.2</v>
      </c>
      <c r="S6" s="3">
        <v>0</v>
      </c>
    </row>
    <row r="7" spans="1:22">
      <c r="Q7" s="10">
        <v>31472</v>
      </c>
      <c r="R7" s="13">
        <v>17</v>
      </c>
      <c r="S7" s="3">
        <v>0</v>
      </c>
    </row>
    <row r="8" spans="1:22">
      <c r="Q8" s="10">
        <v>31564</v>
      </c>
      <c r="R8" s="13">
        <v>13.9</v>
      </c>
      <c r="S8" s="3">
        <v>0</v>
      </c>
    </row>
    <row r="9" spans="1:22">
      <c r="Q9" s="10">
        <v>31656</v>
      </c>
      <c r="R9" s="13">
        <v>13.9</v>
      </c>
      <c r="S9" s="3">
        <v>0</v>
      </c>
    </row>
    <row r="10" spans="1:22">
      <c r="Q10" s="10">
        <v>31747</v>
      </c>
      <c r="R10" s="13">
        <v>15.4</v>
      </c>
      <c r="S10" s="3">
        <v>0</v>
      </c>
    </row>
    <row r="11" spans="1:22">
      <c r="Q11" s="10">
        <v>31837</v>
      </c>
      <c r="R11" s="13">
        <v>18.2</v>
      </c>
      <c r="S11" s="3">
        <v>0</v>
      </c>
    </row>
    <row r="12" spans="1:22">
      <c r="Q12" s="10">
        <v>31929</v>
      </c>
      <c r="R12" s="13">
        <v>19.399999999999999</v>
      </c>
      <c r="S12" s="3">
        <v>0</v>
      </c>
    </row>
    <row r="13" spans="1:22">
      <c r="Q13" s="10">
        <v>32021</v>
      </c>
      <c r="R13" s="13">
        <v>20.399999999999999</v>
      </c>
      <c r="S13" s="3">
        <v>0</v>
      </c>
    </row>
    <row r="14" spans="1:22">
      <c r="Q14" s="10">
        <v>32112</v>
      </c>
      <c r="R14" s="13">
        <v>18.7</v>
      </c>
      <c r="S14" s="3">
        <v>0</v>
      </c>
    </row>
    <row r="15" spans="1:22">
      <c r="Q15" s="10">
        <v>32203</v>
      </c>
      <c r="R15" s="13">
        <v>16.7</v>
      </c>
      <c r="S15" s="3">
        <v>0</v>
      </c>
    </row>
    <row r="16" spans="1:22">
      <c r="Q16" s="10">
        <v>32295</v>
      </c>
      <c r="R16" s="13">
        <v>17.3</v>
      </c>
      <c r="S16" s="3">
        <v>0</v>
      </c>
    </row>
    <row r="17" spans="17:19">
      <c r="Q17" s="10">
        <v>32387</v>
      </c>
      <c r="R17" s="13">
        <v>15.2</v>
      </c>
      <c r="S17" s="3">
        <v>0</v>
      </c>
    </row>
    <row r="18" spans="17:19">
      <c r="Q18" s="10">
        <v>32478</v>
      </c>
      <c r="R18" s="13">
        <v>14.7</v>
      </c>
      <c r="S18" s="3">
        <v>0</v>
      </c>
    </row>
    <row r="19" spans="17:19">
      <c r="Q19" s="10">
        <v>32568</v>
      </c>
      <c r="R19" s="13">
        <v>18.399999999999999</v>
      </c>
      <c r="S19" s="3">
        <v>0</v>
      </c>
    </row>
    <row r="20" spans="17:19">
      <c r="Q20" s="10">
        <v>32660</v>
      </c>
      <c r="R20" s="13">
        <v>20.399999999999999</v>
      </c>
      <c r="S20" s="3">
        <v>0</v>
      </c>
    </row>
    <row r="21" spans="17:19">
      <c r="Q21" s="10">
        <v>32752</v>
      </c>
      <c r="R21" s="13">
        <v>19.3</v>
      </c>
      <c r="S21" s="3">
        <v>0</v>
      </c>
    </row>
    <row r="22" spans="17:19">
      <c r="Q22" s="10">
        <v>32843</v>
      </c>
      <c r="R22" s="13">
        <v>20.3</v>
      </c>
      <c r="S22" s="3">
        <v>0</v>
      </c>
    </row>
    <row r="23" spans="17:19">
      <c r="Q23" s="10">
        <v>32933</v>
      </c>
      <c r="R23" s="13">
        <v>21.7</v>
      </c>
      <c r="S23" s="3">
        <v>0</v>
      </c>
    </row>
    <row r="24" spans="17:19">
      <c r="Q24" s="10">
        <v>33025</v>
      </c>
      <c r="R24" s="13">
        <v>17.899999999999999</v>
      </c>
      <c r="S24" s="3">
        <v>0</v>
      </c>
    </row>
    <row r="25" spans="17:19">
      <c r="Q25" s="10">
        <v>33117</v>
      </c>
      <c r="R25" s="13">
        <v>26.5</v>
      </c>
      <c r="S25" s="3">
        <v>10000</v>
      </c>
    </row>
    <row r="26" spans="17:19">
      <c r="Q26" s="10">
        <v>33208</v>
      </c>
      <c r="R26" s="13">
        <v>31.9</v>
      </c>
      <c r="S26" s="3">
        <v>10000</v>
      </c>
    </row>
    <row r="27" spans="17:19">
      <c r="Q27" s="10">
        <v>33298</v>
      </c>
      <c r="R27" s="13">
        <v>21.8</v>
      </c>
      <c r="S27" s="3">
        <v>10000</v>
      </c>
    </row>
    <row r="28" spans="17:19">
      <c r="Q28" s="10">
        <v>33390</v>
      </c>
      <c r="R28" s="13">
        <v>20.8</v>
      </c>
      <c r="S28" s="3">
        <v>0</v>
      </c>
    </row>
    <row r="29" spans="17:19">
      <c r="Q29" s="10">
        <v>33482</v>
      </c>
      <c r="R29" s="13">
        <v>21.7</v>
      </c>
      <c r="S29" s="3">
        <v>0</v>
      </c>
    </row>
    <row r="30" spans="17:19">
      <c r="Q30" s="10">
        <v>33573</v>
      </c>
      <c r="R30" s="13">
        <v>21.7</v>
      </c>
      <c r="S30" s="3">
        <v>0</v>
      </c>
    </row>
    <row r="31" spans="17:19">
      <c r="Q31" s="10">
        <v>33664</v>
      </c>
      <c r="R31" s="13">
        <v>18.899999999999999</v>
      </c>
      <c r="S31" s="3">
        <v>0</v>
      </c>
    </row>
    <row r="32" spans="17:19">
      <c r="Q32" s="10">
        <v>33756</v>
      </c>
      <c r="R32" s="13">
        <v>21.2</v>
      </c>
      <c r="S32" s="3">
        <v>0</v>
      </c>
    </row>
    <row r="33" spans="1:19">
      <c r="A33" s="18" t="s">
        <v>73</v>
      </c>
      <c r="Q33" s="10">
        <v>33848</v>
      </c>
      <c r="R33" s="13">
        <v>21.7</v>
      </c>
      <c r="S33" s="3">
        <v>0</v>
      </c>
    </row>
    <row r="34" spans="1:19">
      <c r="A34" s="19" t="s">
        <v>75</v>
      </c>
      <c r="B34" s="20"/>
      <c r="C34" s="20"/>
      <c r="D34" s="20"/>
      <c r="E34" s="20"/>
      <c r="F34" s="20"/>
      <c r="G34" s="20"/>
      <c r="H34" s="20"/>
      <c r="I34" s="20"/>
      <c r="J34" s="20"/>
      <c r="K34" s="20"/>
      <c r="L34" s="20"/>
      <c r="M34" s="20"/>
      <c r="N34" s="20"/>
      <c r="O34" s="20"/>
      <c r="Q34" s="10">
        <v>33939</v>
      </c>
      <c r="R34" s="13">
        <v>20.5</v>
      </c>
      <c r="S34" s="3">
        <v>0</v>
      </c>
    </row>
    <row r="35" spans="1:19">
      <c r="A35" s="20"/>
      <c r="B35" s="20"/>
      <c r="C35" s="20"/>
      <c r="D35" s="20"/>
      <c r="E35" s="20"/>
      <c r="F35" s="20"/>
      <c r="G35" s="20"/>
      <c r="H35" s="20"/>
      <c r="I35" s="20"/>
      <c r="J35" s="20"/>
      <c r="K35" s="20"/>
      <c r="L35" s="20"/>
      <c r="M35" s="20"/>
      <c r="N35" s="20"/>
      <c r="O35" s="20"/>
      <c r="Q35" s="10">
        <v>34029</v>
      </c>
      <c r="R35" s="13">
        <v>19.8</v>
      </c>
      <c r="S35" s="3">
        <v>0</v>
      </c>
    </row>
    <row r="36" spans="1:19">
      <c r="A36" s="20"/>
      <c r="B36" s="20"/>
      <c r="C36" s="20"/>
      <c r="D36" s="20"/>
      <c r="E36" s="20"/>
      <c r="F36" s="20"/>
      <c r="G36" s="20"/>
      <c r="H36" s="20"/>
      <c r="I36" s="20"/>
      <c r="J36" s="20"/>
      <c r="K36" s="20"/>
      <c r="L36" s="20"/>
      <c r="M36" s="20"/>
      <c r="N36" s="20"/>
      <c r="O36" s="20"/>
      <c r="Q36" s="10">
        <v>34121</v>
      </c>
      <c r="R36" s="13">
        <v>19.8</v>
      </c>
      <c r="S36" s="3">
        <v>0</v>
      </c>
    </row>
    <row r="37" spans="1:19">
      <c r="A37" s="20"/>
      <c r="B37" s="20"/>
      <c r="C37" s="20"/>
      <c r="D37" s="20"/>
      <c r="E37" s="20"/>
      <c r="F37" s="20"/>
      <c r="G37" s="20"/>
      <c r="H37" s="20"/>
      <c r="I37" s="20"/>
      <c r="J37" s="20"/>
      <c r="K37" s="20"/>
      <c r="L37" s="20"/>
      <c r="M37" s="20"/>
      <c r="N37" s="20"/>
      <c r="O37" s="20"/>
      <c r="Q37" s="10">
        <v>34213</v>
      </c>
      <c r="R37" s="13">
        <v>17.8</v>
      </c>
      <c r="S37" s="3">
        <v>0</v>
      </c>
    </row>
    <row r="38" spans="1:19">
      <c r="A38" s="20"/>
      <c r="B38" s="20"/>
      <c r="C38" s="20"/>
      <c r="D38" s="20"/>
      <c r="E38" s="20"/>
      <c r="F38" s="20"/>
      <c r="G38" s="20"/>
      <c r="H38" s="20"/>
      <c r="I38" s="20"/>
      <c r="J38" s="20"/>
      <c r="K38" s="20"/>
      <c r="L38" s="20"/>
      <c r="M38" s="20"/>
      <c r="N38" s="20"/>
      <c r="O38" s="20"/>
      <c r="Q38" s="10">
        <v>34304</v>
      </c>
      <c r="R38" s="13">
        <v>16.5</v>
      </c>
      <c r="S38" s="3">
        <v>0</v>
      </c>
    </row>
    <row r="39" spans="1:19">
      <c r="A39" s="20"/>
      <c r="B39" s="20"/>
      <c r="C39" s="20"/>
      <c r="D39" s="20"/>
      <c r="E39" s="20"/>
      <c r="F39" s="20"/>
      <c r="G39" s="20"/>
      <c r="H39" s="20"/>
      <c r="I39" s="20"/>
      <c r="J39" s="20"/>
      <c r="K39" s="20"/>
      <c r="L39" s="20"/>
      <c r="M39" s="20"/>
      <c r="N39" s="20"/>
      <c r="O39" s="20"/>
      <c r="Q39" s="10">
        <v>34394</v>
      </c>
      <c r="R39" s="13">
        <v>14.8</v>
      </c>
      <c r="S39" s="3">
        <v>0</v>
      </c>
    </row>
    <row r="40" spans="1:19" ht="15" customHeight="1">
      <c r="A40" s="20"/>
      <c r="B40" s="20"/>
      <c r="C40" s="20"/>
      <c r="D40" s="20"/>
      <c r="E40" s="20"/>
      <c r="F40" s="20"/>
      <c r="G40" s="20"/>
      <c r="H40" s="20"/>
      <c r="I40" s="20"/>
      <c r="J40" s="20"/>
      <c r="K40" s="20"/>
      <c r="L40" s="20"/>
      <c r="M40" s="20"/>
      <c r="N40" s="20"/>
      <c r="O40" s="20"/>
      <c r="Q40" s="10">
        <v>34486</v>
      </c>
      <c r="R40" s="13">
        <v>17.8</v>
      </c>
      <c r="S40" s="3">
        <v>0</v>
      </c>
    </row>
    <row r="41" spans="1:19" ht="19.5" customHeight="1">
      <c r="Q41" s="10">
        <v>34578</v>
      </c>
      <c r="R41" s="13">
        <v>18.5</v>
      </c>
      <c r="S41" s="3">
        <v>0</v>
      </c>
    </row>
    <row r="42" spans="1:19" ht="15" customHeight="1">
      <c r="A42" s="9" t="s">
        <v>60</v>
      </c>
      <c r="Q42" s="10">
        <v>34669</v>
      </c>
      <c r="R42" s="13">
        <v>17.7</v>
      </c>
      <c r="S42" s="3">
        <v>0</v>
      </c>
    </row>
    <row r="43" spans="1:19" ht="15" customHeight="1">
      <c r="Q43" s="10">
        <v>34759</v>
      </c>
      <c r="R43" s="13">
        <v>18.399999999999999</v>
      </c>
      <c r="S43" s="3">
        <v>0</v>
      </c>
    </row>
    <row r="44" spans="1:19" ht="18" customHeight="1">
      <c r="Q44" s="10">
        <v>34851</v>
      </c>
      <c r="R44" s="13">
        <v>19.3</v>
      </c>
      <c r="S44" s="3">
        <v>0</v>
      </c>
    </row>
    <row r="45" spans="1:19">
      <c r="Q45" s="10">
        <v>34943</v>
      </c>
      <c r="R45" s="13">
        <v>17.899999999999999</v>
      </c>
      <c r="S45" s="3">
        <v>0</v>
      </c>
    </row>
    <row r="46" spans="1:19">
      <c r="Q46" s="10">
        <v>35034</v>
      </c>
      <c r="R46" s="13">
        <v>18.2</v>
      </c>
      <c r="S46" s="3">
        <v>0</v>
      </c>
    </row>
    <row r="47" spans="1:19">
      <c r="Q47" s="10">
        <v>35125</v>
      </c>
      <c r="R47" s="13">
        <v>19.8</v>
      </c>
      <c r="S47" s="3">
        <v>0</v>
      </c>
    </row>
    <row r="48" spans="1:19">
      <c r="Q48" s="10">
        <v>35217</v>
      </c>
      <c r="R48" s="13">
        <v>21.8</v>
      </c>
      <c r="S48" s="3">
        <v>0</v>
      </c>
    </row>
    <row r="49" spans="17:19">
      <c r="Q49" s="10">
        <v>35309</v>
      </c>
      <c r="R49" s="13">
        <v>22.4</v>
      </c>
      <c r="S49" s="3">
        <v>0</v>
      </c>
    </row>
    <row r="50" spans="17:19">
      <c r="Q50" s="10">
        <v>35400</v>
      </c>
      <c r="R50" s="13">
        <v>24.7</v>
      </c>
      <c r="S50" s="3">
        <v>0</v>
      </c>
    </row>
    <row r="51" spans="17:19">
      <c r="Q51" s="10">
        <v>35490</v>
      </c>
      <c r="R51" s="13">
        <v>22.8</v>
      </c>
      <c r="S51" s="3">
        <v>0</v>
      </c>
    </row>
    <row r="52" spans="17:19">
      <c r="Q52" s="10">
        <v>35582</v>
      </c>
      <c r="R52" s="13">
        <v>19.899999999999999</v>
      </c>
      <c r="S52" s="3">
        <v>0</v>
      </c>
    </row>
    <row r="53" spans="17:19">
      <c r="Q53" s="10">
        <v>35674</v>
      </c>
      <c r="R53" s="13">
        <v>19.8</v>
      </c>
      <c r="S53" s="3">
        <v>0</v>
      </c>
    </row>
    <row r="54" spans="17:19">
      <c r="Q54" s="10">
        <v>35765</v>
      </c>
      <c r="R54" s="13">
        <v>19.899999999999999</v>
      </c>
      <c r="S54" s="3">
        <v>0</v>
      </c>
    </row>
    <row r="55" spans="17:19">
      <c r="Q55" s="10">
        <v>35855</v>
      </c>
      <c r="R55" s="13">
        <v>15.9</v>
      </c>
      <c r="S55" s="3">
        <v>0</v>
      </c>
    </row>
    <row r="56" spans="17:19">
      <c r="Q56" s="10">
        <v>35947</v>
      </c>
      <c r="R56" s="13">
        <v>14.7</v>
      </c>
      <c r="S56" s="3">
        <v>0</v>
      </c>
    </row>
    <row r="57" spans="17:19">
      <c r="Q57" s="10">
        <v>36039</v>
      </c>
      <c r="R57" s="13">
        <v>14.1</v>
      </c>
      <c r="S57" s="3">
        <v>0</v>
      </c>
    </row>
    <row r="58" spans="17:19">
      <c r="Q58" s="10">
        <v>36130</v>
      </c>
      <c r="R58" s="13">
        <v>12.8</v>
      </c>
      <c r="S58" s="3">
        <v>0</v>
      </c>
    </row>
    <row r="59" spans="17:19">
      <c r="Q59" s="10">
        <v>36220</v>
      </c>
      <c r="R59" s="13">
        <v>13</v>
      </c>
      <c r="S59" s="3">
        <v>0</v>
      </c>
    </row>
    <row r="60" spans="17:19">
      <c r="Q60" s="10">
        <v>36312</v>
      </c>
      <c r="R60" s="13">
        <v>17.7</v>
      </c>
      <c r="S60" s="3">
        <v>0</v>
      </c>
    </row>
    <row r="61" spans="17:19">
      <c r="Q61" s="10">
        <v>36404</v>
      </c>
      <c r="R61" s="13">
        <v>21.7</v>
      </c>
      <c r="S61" s="3">
        <v>0</v>
      </c>
    </row>
    <row r="62" spans="17:19">
      <c r="Q62" s="10">
        <v>36495</v>
      </c>
      <c r="R62" s="13">
        <v>24.6</v>
      </c>
      <c r="S62" s="3">
        <v>0</v>
      </c>
    </row>
    <row r="63" spans="17:19">
      <c r="Q63" s="10">
        <v>36586</v>
      </c>
      <c r="R63" s="13">
        <v>28.8</v>
      </c>
      <c r="S63" s="3">
        <v>0</v>
      </c>
    </row>
    <row r="64" spans="17:19">
      <c r="Q64" s="10">
        <v>36678</v>
      </c>
      <c r="R64" s="13">
        <v>28.8</v>
      </c>
      <c r="S64" s="3">
        <v>0</v>
      </c>
    </row>
    <row r="65" spans="17:19">
      <c r="Q65" s="10">
        <v>36770</v>
      </c>
      <c r="R65" s="13">
        <v>31.6</v>
      </c>
      <c r="S65" s="3">
        <v>0</v>
      </c>
    </row>
    <row r="66" spans="17:19">
      <c r="Q66" s="10">
        <v>36861</v>
      </c>
      <c r="R66" s="13">
        <v>32</v>
      </c>
      <c r="S66" s="3">
        <v>0</v>
      </c>
    </row>
    <row r="67" spans="17:19">
      <c r="Q67" s="10">
        <v>36951</v>
      </c>
      <c r="R67" s="13">
        <v>28.8</v>
      </c>
      <c r="S67" s="3">
        <v>0</v>
      </c>
    </row>
    <row r="68" spans="17:19">
      <c r="Q68" s="10">
        <v>37043</v>
      </c>
      <c r="R68" s="13">
        <v>27.9</v>
      </c>
      <c r="S68" s="3">
        <v>0</v>
      </c>
    </row>
    <row r="69" spans="17:19">
      <c r="Q69" s="10">
        <v>37135</v>
      </c>
      <c r="R69" s="13">
        <v>26.6</v>
      </c>
      <c r="S69" s="3">
        <v>10000</v>
      </c>
    </row>
    <row r="70" spans="17:19">
      <c r="Q70" s="10">
        <v>37226</v>
      </c>
      <c r="R70" s="13">
        <v>20.399999999999999</v>
      </c>
      <c r="S70" s="3">
        <v>10000</v>
      </c>
    </row>
    <row r="71" spans="17:19">
      <c r="Q71" s="10">
        <v>37316</v>
      </c>
      <c r="R71" s="13">
        <v>21.6</v>
      </c>
      <c r="S71" s="3">
        <v>0</v>
      </c>
    </row>
    <row r="72" spans="17:19">
      <c r="Q72" s="10">
        <v>37408</v>
      </c>
      <c r="R72" s="13">
        <v>26.3</v>
      </c>
      <c r="S72" s="3">
        <v>0</v>
      </c>
    </row>
    <row r="73" spans="17:19">
      <c r="Q73" s="10">
        <v>37500</v>
      </c>
      <c r="R73" s="13">
        <v>28.3</v>
      </c>
      <c r="S73" s="3">
        <v>0</v>
      </c>
    </row>
    <row r="74" spans="17:19">
      <c r="Q74" s="10">
        <v>37591</v>
      </c>
      <c r="R74" s="13">
        <v>28.2</v>
      </c>
      <c r="S74" s="3">
        <v>10000</v>
      </c>
    </row>
    <row r="75" spans="17:19">
      <c r="Q75" s="10">
        <v>37681</v>
      </c>
      <c r="R75" s="13">
        <v>34.1</v>
      </c>
      <c r="S75" s="3">
        <v>10000</v>
      </c>
    </row>
    <row r="76" spans="17:19">
      <c r="Q76" s="10">
        <v>37773</v>
      </c>
      <c r="R76" s="13">
        <v>29</v>
      </c>
      <c r="S76" s="3">
        <v>0</v>
      </c>
    </row>
    <row r="77" spans="17:19">
      <c r="Q77" s="10">
        <v>37865</v>
      </c>
      <c r="R77" s="13">
        <v>30.2</v>
      </c>
      <c r="S77" s="3">
        <v>0</v>
      </c>
    </row>
    <row r="78" spans="17:19">
      <c r="Q78" s="10">
        <v>37956</v>
      </c>
      <c r="R78" s="13">
        <v>31.2</v>
      </c>
      <c r="S78" s="3">
        <v>0</v>
      </c>
    </row>
    <row r="79" spans="17:19">
      <c r="Q79" s="10">
        <v>38047</v>
      </c>
      <c r="R79" s="13">
        <v>35.299999999999997</v>
      </c>
      <c r="S79" s="3">
        <v>0</v>
      </c>
    </row>
    <row r="80" spans="17:19">
      <c r="Q80" s="10">
        <v>38139</v>
      </c>
      <c r="R80" s="13">
        <v>38.299999999999997</v>
      </c>
      <c r="S80" s="3">
        <v>0</v>
      </c>
    </row>
    <row r="81" spans="17:19">
      <c r="Q81" s="10">
        <v>38231</v>
      </c>
      <c r="R81" s="13">
        <v>43.9</v>
      </c>
      <c r="S81" s="3">
        <v>0</v>
      </c>
    </row>
    <row r="82" spans="17:19">
      <c r="Q82" s="10">
        <v>38322</v>
      </c>
      <c r="R82" s="13">
        <v>48.3</v>
      </c>
      <c r="S82" s="3">
        <v>0</v>
      </c>
    </row>
    <row r="83" spans="17:19">
      <c r="Q83" s="10">
        <v>38412</v>
      </c>
      <c r="R83" s="13">
        <v>49.7</v>
      </c>
      <c r="S83" s="3">
        <v>0</v>
      </c>
    </row>
    <row r="84" spans="17:19">
      <c r="Q84" s="10">
        <v>38504</v>
      </c>
      <c r="R84" s="13">
        <v>53</v>
      </c>
      <c r="S84" s="3">
        <v>0</v>
      </c>
    </row>
    <row r="85" spans="17:19">
      <c r="Q85" s="10">
        <v>38596</v>
      </c>
      <c r="R85" s="13">
        <v>63.1</v>
      </c>
      <c r="S85" s="3">
        <v>0</v>
      </c>
    </row>
    <row r="86" spans="17:19">
      <c r="Q86" s="10">
        <v>38687</v>
      </c>
      <c r="R86" s="13">
        <v>60</v>
      </c>
      <c r="S86" s="3">
        <v>0</v>
      </c>
    </row>
    <row r="87" spans="17:19">
      <c r="Q87" s="10">
        <v>38777</v>
      </c>
      <c r="R87" s="13">
        <v>63.3</v>
      </c>
      <c r="S87" s="3">
        <v>0</v>
      </c>
    </row>
    <row r="88" spans="17:19">
      <c r="Q88" s="10">
        <v>38869</v>
      </c>
      <c r="R88" s="13">
        <v>70.5</v>
      </c>
      <c r="S88" s="3">
        <v>0</v>
      </c>
    </row>
    <row r="89" spans="17:19">
      <c r="Q89" s="10">
        <v>38961</v>
      </c>
      <c r="R89" s="13">
        <v>70.400000000000006</v>
      </c>
      <c r="S89" s="3">
        <v>0</v>
      </c>
    </row>
    <row r="90" spans="17:19">
      <c r="Q90" s="10">
        <v>39052</v>
      </c>
      <c r="R90" s="13">
        <v>60.1</v>
      </c>
      <c r="S90" s="3">
        <v>0</v>
      </c>
    </row>
    <row r="91" spans="17:19">
      <c r="Q91" s="10">
        <v>39142</v>
      </c>
      <c r="R91" s="13">
        <v>58.1</v>
      </c>
      <c r="S91" s="3">
        <v>0</v>
      </c>
    </row>
    <row r="92" spans="17:19">
      <c r="Q92" s="10">
        <v>39234</v>
      </c>
      <c r="R92" s="13">
        <v>65</v>
      </c>
      <c r="S92" s="3">
        <v>0</v>
      </c>
    </row>
    <row r="93" spans="17:19">
      <c r="Q93" s="10">
        <v>39326</v>
      </c>
      <c r="R93" s="13">
        <v>75.5</v>
      </c>
      <c r="S93" s="3">
        <v>0</v>
      </c>
    </row>
    <row r="94" spans="17:19">
      <c r="Q94" s="10">
        <v>39417</v>
      </c>
      <c r="R94" s="13">
        <v>90.9</v>
      </c>
      <c r="S94" s="3">
        <v>0</v>
      </c>
    </row>
    <row r="95" spans="17:19">
      <c r="Q95" s="10">
        <v>39508</v>
      </c>
      <c r="R95" s="13">
        <v>98</v>
      </c>
      <c r="S95" s="3">
        <v>0</v>
      </c>
    </row>
    <row r="96" spans="17:19">
      <c r="Q96" s="10">
        <v>39600</v>
      </c>
      <c r="R96" s="13">
        <v>124</v>
      </c>
      <c r="S96" s="3">
        <v>0</v>
      </c>
    </row>
    <row r="97" spans="17:19">
      <c r="Q97" s="10">
        <v>39692</v>
      </c>
      <c r="R97" s="13">
        <v>118</v>
      </c>
      <c r="S97" s="3">
        <v>0</v>
      </c>
    </row>
    <row r="98" spans="17:19">
      <c r="Q98" s="10">
        <v>39783</v>
      </c>
      <c r="R98" s="13">
        <v>58.4</v>
      </c>
      <c r="S98" s="3">
        <v>0</v>
      </c>
    </row>
    <row r="99" spans="17:19">
      <c r="Q99" s="10">
        <v>39873</v>
      </c>
      <c r="R99" s="13">
        <v>43</v>
      </c>
      <c r="S99" s="3">
        <v>0</v>
      </c>
    </row>
    <row r="100" spans="17:19">
      <c r="Q100" s="10">
        <v>39965</v>
      </c>
      <c r="R100" s="13">
        <v>59.5</v>
      </c>
      <c r="S100" s="3">
        <v>0</v>
      </c>
    </row>
    <row r="101" spans="17:19">
      <c r="Q101" s="10">
        <v>40057</v>
      </c>
      <c r="R101" s="13">
        <v>68.2</v>
      </c>
      <c r="S101" s="3">
        <v>0</v>
      </c>
    </row>
    <row r="102" spans="17:19">
      <c r="Q102" s="10">
        <v>40148</v>
      </c>
      <c r="R102" s="13">
        <v>76.099999999999994</v>
      </c>
      <c r="S102" s="3">
        <v>0</v>
      </c>
    </row>
    <row r="103" spans="17:19">
      <c r="Q103" s="10">
        <v>40238</v>
      </c>
      <c r="R103" s="13">
        <v>78.599999999999994</v>
      </c>
      <c r="S103" s="3">
        <v>0</v>
      </c>
    </row>
    <row r="104" spans="17:19">
      <c r="Q104" s="10">
        <v>40330</v>
      </c>
      <c r="R104" s="13">
        <v>77.900000000000006</v>
      </c>
      <c r="S104" s="3">
        <v>0</v>
      </c>
    </row>
    <row r="105" spans="17:19">
      <c r="Q105" s="10">
        <v>40422</v>
      </c>
      <c r="R105" s="13">
        <v>76.2</v>
      </c>
      <c r="S105" s="3">
        <v>0</v>
      </c>
    </row>
    <row r="106" spans="17:19">
      <c r="Q106" s="10">
        <v>40513</v>
      </c>
      <c r="R106" s="13">
        <v>85</v>
      </c>
      <c r="S106" s="3">
        <v>0</v>
      </c>
    </row>
    <row r="107" spans="17:19">
      <c r="Q107" s="10">
        <v>40603</v>
      </c>
      <c r="R107" s="13">
        <v>94</v>
      </c>
      <c r="S107" s="3">
        <v>10000</v>
      </c>
    </row>
    <row r="108" spans="17:19">
      <c r="Q108" s="10">
        <v>40695</v>
      </c>
      <c r="R108" s="13">
        <v>102.6</v>
      </c>
      <c r="S108" s="3">
        <v>10000</v>
      </c>
    </row>
    <row r="109" spans="17:19">
      <c r="Q109" s="10">
        <v>40787</v>
      </c>
      <c r="R109" s="13">
        <v>89.7</v>
      </c>
      <c r="S109" s="3">
        <v>0</v>
      </c>
    </row>
    <row r="110" spans="17:19">
      <c r="Q110" s="10">
        <v>40878</v>
      </c>
      <c r="R110" s="13">
        <v>94.1</v>
      </c>
      <c r="S110" s="3">
        <v>0</v>
      </c>
    </row>
    <row r="111" spans="17:19">
      <c r="Q111" s="10">
        <v>40969</v>
      </c>
      <c r="R111" s="13">
        <v>102.9</v>
      </c>
      <c r="S111" s="3">
        <v>0</v>
      </c>
    </row>
    <row r="112" spans="17:19">
      <c r="Q112" s="10">
        <v>41061</v>
      </c>
      <c r="R112" s="13">
        <v>93.5</v>
      </c>
      <c r="S112" s="3">
        <v>0</v>
      </c>
    </row>
    <row r="113" spans="17:19">
      <c r="Q113" s="10">
        <v>41153</v>
      </c>
      <c r="R113" s="13">
        <v>92.3</v>
      </c>
      <c r="S113" s="3">
        <v>0</v>
      </c>
    </row>
    <row r="114" spans="17:19">
      <c r="Q114" s="10">
        <v>41244</v>
      </c>
      <c r="R114" s="13">
        <v>88.2</v>
      </c>
      <c r="S114" s="3">
        <v>0</v>
      </c>
    </row>
    <row r="115" spans="17:19">
      <c r="Q115" s="10">
        <v>41334</v>
      </c>
      <c r="R115" s="13">
        <v>94.4</v>
      </c>
      <c r="S115" s="3">
        <v>0</v>
      </c>
    </row>
    <row r="116" spans="17:19">
      <c r="Q116" s="10">
        <v>41426</v>
      </c>
      <c r="R116" s="13">
        <v>94.2</v>
      </c>
      <c r="S116" s="3">
        <v>0</v>
      </c>
    </row>
    <row r="117" spans="17:19">
      <c r="Q117" s="10">
        <v>41518</v>
      </c>
      <c r="R117" s="13">
        <v>105.8</v>
      </c>
      <c r="S117" s="3">
        <v>0</v>
      </c>
    </row>
    <row r="118" spans="17:19">
      <c r="Q118" s="10">
        <v>41609</v>
      </c>
      <c r="R118" s="13">
        <v>97.3</v>
      </c>
      <c r="S118" s="3">
        <v>0</v>
      </c>
    </row>
    <row r="119" spans="17:19">
      <c r="Q119" s="10">
        <v>41699</v>
      </c>
      <c r="R119" s="13">
        <v>98.7</v>
      </c>
      <c r="S119" s="3">
        <v>0</v>
      </c>
    </row>
    <row r="120" spans="17:19">
      <c r="Q120" s="10">
        <v>41791</v>
      </c>
      <c r="R120" s="13">
        <v>103.3</v>
      </c>
      <c r="S120" s="3">
        <v>0</v>
      </c>
    </row>
    <row r="121" spans="17:19">
      <c r="Q121" s="10">
        <v>41883</v>
      </c>
      <c r="R121" s="13">
        <v>97.8</v>
      </c>
      <c r="S121" s="3">
        <v>10000</v>
      </c>
    </row>
    <row r="122" spans="17:19">
      <c r="Q122" s="10">
        <v>41974</v>
      </c>
      <c r="R122" s="13">
        <v>73.2</v>
      </c>
      <c r="S122" s="3">
        <v>10000</v>
      </c>
    </row>
    <row r="123" spans="17:19">
      <c r="Q123" s="10">
        <v>42064</v>
      </c>
      <c r="R123" s="13">
        <v>48.5</v>
      </c>
      <c r="S123" s="3">
        <v>10000</v>
      </c>
    </row>
    <row r="124" spans="17:19">
      <c r="Q124" s="10">
        <v>42156</v>
      </c>
      <c r="R124" s="13">
        <v>57.8</v>
      </c>
      <c r="S124" s="3">
        <v>0</v>
      </c>
    </row>
    <row r="125" spans="17:19">
      <c r="Q125" s="10">
        <v>42248</v>
      </c>
      <c r="R125" s="13">
        <v>46.4</v>
      </c>
      <c r="S125" s="3">
        <v>0</v>
      </c>
    </row>
    <row r="126" spans="17:19">
      <c r="Q126" s="10">
        <v>42339</v>
      </c>
      <c r="R126" s="13">
        <v>42</v>
      </c>
      <c r="S126" s="3">
        <v>0</v>
      </c>
    </row>
    <row r="127" spans="17:19">
      <c r="Q127" s="10">
        <v>42430</v>
      </c>
      <c r="R127" s="13">
        <v>33.200000000000003</v>
      </c>
      <c r="S127" s="3">
        <v>0</v>
      </c>
    </row>
    <row r="128" spans="17:19">
      <c r="Q128" s="10">
        <v>42522</v>
      </c>
      <c r="R128" s="13">
        <v>45.4</v>
      </c>
      <c r="S128" s="3">
        <v>0</v>
      </c>
    </row>
    <row r="129" spans="17:19">
      <c r="Q129" s="10">
        <v>42614</v>
      </c>
      <c r="R129" s="13">
        <v>44.9</v>
      </c>
      <c r="S129" s="3">
        <v>0</v>
      </c>
    </row>
    <row r="130" spans="17:19">
      <c r="Q130" s="10">
        <v>42705</v>
      </c>
      <c r="R130" s="13">
        <v>49.1</v>
      </c>
      <c r="S130" s="3">
        <v>0</v>
      </c>
    </row>
    <row r="131" spans="17:19">
      <c r="Q131" s="10">
        <v>42795</v>
      </c>
      <c r="R131" s="13">
        <v>51.8</v>
      </c>
      <c r="S131" s="3">
        <v>0</v>
      </c>
    </row>
    <row r="132" spans="17:19">
      <c r="Q132" s="10">
        <v>42887</v>
      </c>
      <c r="R132" s="13">
        <v>48.2</v>
      </c>
      <c r="S132" s="3">
        <v>0</v>
      </c>
    </row>
    <row r="133" spans="17:19">
      <c r="Q133" s="10">
        <v>42979</v>
      </c>
      <c r="R133" s="13">
        <v>48.2</v>
      </c>
      <c r="S133" s="3">
        <v>0</v>
      </c>
    </row>
    <row r="134" spans="17:19">
      <c r="Q134" s="10">
        <v>43070</v>
      </c>
      <c r="R134" s="13">
        <v>55.4</v>
      </c>
      <c r="S134" s="3">
        <v>0</v>
      </c>
    </row>
    <row r="135" spans="17:19">
      <c r="Q135" s="10">
        <v>43160</v>
      </c>
      <c r="R135" s="13">
        <v>62.9</v>
      </c>
      <c r="S135" s="3">
        <v>0</v>
      </c>
    </row>
    <row r="136" spans="17:19">
      <c r="Q136" s="10">
        <v>43252</v>
      </c>
      <c r="R136" s="13">
        <v>68</v>
      </c>
      <c r="S136" s="3">
        <v>0</v>
      </c>
    </row>
    <row r="137" spans="17:19">
      <c r="Q137" s="10">
        <v>43344</v>
      </c>
      <c r="R137" s="13">
        <v>69.8</v>
      </c>
      <c r="S137" s="3">
        <v>0</v>
      </c>
    </row>
    <row r="138" spans="17:19">
      <c r="Q138" s="10">
        <v>43435</v>
      </c>
      <c r="R138" s="13">
        <v>59.1</v>
      </c>
      <c r="S138" s="3">
        <v>0</v>
      </c>
    </row>
    <row r="139" spans="17:19">
      <c r="Q139" s="10">
        <v>43525</v>
      </c>
      <c r="R139" s="13">
        <v>54.8</v>
      </c>
      <c r="S139" s="3">
        <v>0</v>
      </c>
    </row>
    <row r="140" spans="17:19">
      <c r="Q140" s="10">
        <v>43617</v>
      </c>
      <c r="R140" s="13">
        <v>59.8</v>
      </c>
      <c r="S140" s="3">
        <v>0</v>
      </c>
    </row>
    <row r="141" spans="17:19">
      <c r="Q141" s="10">
        <v>43709</v>
      </c>
      <c r="R141" s="13">
        <v>56.4</v>
      </c>
      <c r="S141" s="3">
        <v>10000</v>
      </c>
    </row>
    <row r="142" spans="17:19">
      <c r="Q142" s="10">
        <v>43800</v>
      </c>
      <c r="R142" s="13">
        <v>57</v>
      </c>
      <c r="S142" s="3">
        <v>10000</v>
      </c>
    </row>
    <row r="143" spans="17:19">
      <c r="Q143" s="10">
        <v>43891</v>
      </c>
      <c r="R143" s="13">
        <v>45.8</v>
      </c>
      <c r="S143" s="3">
        <v>0</v>
      </c>
    </row>
    <row r="144" spans="17:19">
      <c r="Q144" s="10">
        <v>43983</v>
      </c>
      <c r="R144" s="13">
        <v>27.8</v>
      </c>
      <c r="S144" s="3">
        <v>0</v>
      </c>
    </row>
    <row r="145" spans="17:19">
      <c r="Q145" s="10">
        <v>44075</v>
      </c>
      <c r="R145" s="13">
        <v>40.9</v>
      </c>
      <c r="S145" s="3">
        <v>0</v>
      </c>
    </row>
    <row r="146" spans="17:19">
      <c r="Q146" s="10">
        <v>44166</v>
      </c>
      <c r="R146" s="13">
        <v>42.5</v>
      </c>
      <c r="S146" s="3">
        <v>0</v>
      </c>
    </row>
    <row r="147" spans="17:19">
      <c r="Q147" s="10">
        <v>44256</v>
      </c>
      <c r="R147" s="13">
        <v>57.8</v>
      </c>
      <c r="S147" s="3">
        <v>0</v>
      </c>
    </row>
    <row r="148" spans="17:19">
      <c r="Q148" s="10">
        <v>44348</v>
      </c>
      <c r="R148" s="13">
        <v>66.099999999999994</v>
      </c>
      <c r="S148" s="3">
        <v>0</v>
      </c>
    </row>
    <row r="149" spans="17:19">
      <c r="Q149" s="10">
        <v>44440</v>
      </c>
      <c r="R149" s="13">
        <v>70.599999999999994</v>
      </c>
      <c r="S149" s="3">
        <v>0</v>
      </c>
    </row>
    <row r="150" spans="17:19">
      <c r="Q150" s="10">
        <v>44531</v>
      </c>
      <c r="R150" s="13">
        <v>77.400000000000006</v>
      </c>
      <c r="S150" s="3">
        <v>0</v>
      </c>
    </row>
    <row r="151" spans="17:19">
      <c r="Q151" s="10">
        <v>44621</v>
      </c>
      <c r="R151" s="13">
        <v>94.5</v>
      </c>
      <c r="S151" s="3">
        <v>10000</v>
      </c>
    </row>
    <row r="152" spans="17:19">
      <c r="Q152" s="10">
        <v>44713</v>
      </c>
      <c r="R152" s="13">
        <v>108.7</v>
      </c>
      <c r="S152" s="3">
        <v>10000</v>
      </c>
    </row>
    <row r="153" spans="17:19">
      <c r="Q153" s="10">
        <v>44805</v>
      </c>
      <c r="R153" s="13">
        <v>93.2</v>
      </c>
      <c r="S153" s="3">
        <v>0</v>
      </c>
    </row>
    <row r="154" spans="17:19">
      <c r="Q154" s="10">
        <v>44896</v>
      </c>
      <c r="R154" s="13">
        <v>82.8</v>
      </c>
      <c r="S154" s="3">
        <v>0</v>
      </c>
    </row>
    <row r="155" spans="17:19">
      <c r="Q155" s="10">
        <v>44986</v>
      </c>
      <c r="R155" s="13">
        <v>76.099999999999994</v>
      </c>
      <c r="S155" s="3">
        <v>0</v>
      </c>
    </row>
    <row r="156" spans="17:19">
      <c r="Q156" s="10">
        <v>45078</v>
      </c>
      <c r="R156" s="13">
        <v>73.8</v>
      </c>
      <c r="S156" s="3">
        <v>0</v>
      </c>
    </row>
    <row r="157" spans="17:19">
      <c r="Q157" s="10">
        <v>45170</v>
      </c>
      <c r="R157" s="13">
        <v>82.3</v>
      </c>
      <c r="S157" s="3">
        <v>10000</v>
      </c>
    </row>
    <row r="158" spans="17:19">
      <c r="Q158" s="10">
        <v>45261</v>
      </c>
      <c r="R158" s="13">
        <v>78.400000000000006</v>
      </c>
      <c r="S158" s="3">
        <v>10000</v>
      </c>
    </row>
    <row r="159" spans="17:19">
      <c r="Q159" s="10">
        <v>45352</v>
      </c>
      <c r="R159" s="13">
        <v>77.599999999999994</v>
      </c>
      <c r="S159" s="3">
        <v>0</v>
      </c>
    </row>
    <row r="160" spans="17:19">
      <c r="Q160" s="10">
        <v>45444</v>
      </c>
      <c r="R160" s="13">
        <v>81.7</v>
      </c>
      <c r="S160" s="3">
        <v>0</v>
      </c>
    </row>
    <row r="161" spans="17:19">
      <c r="Q161" s="10">
        <v>45536</v>
      </c>
      <c r="R161" s="13">
        <v>76.2</v>
      </c>
      <c r="S161" s="3">
        <v>0</v>
      </c>
    </row>
    <row r="162" spans="17:19">
      <c r="Q162" s="10">
        <v>45627</v>
      </c>
      <c r="R162" s="13">
        <v>70.7</v>
      </c>
      <c r="S162" s="3">
        <v>0</v>
      </c>
    </row>
    <row r="163" spans="17:19">
      <c r="Q163" s="10">
        <v>45717</v>
      </c>
      <c r="R163" s="13">
        <v>71.8</v>
      </c>
      <c r="S163" s="3">
        <v>0</v>
      </c>
    </row>
    <row r="164" spans="17:19">
      <c r="Q164" s="10">
        <v>45809</v>
      </c>
      <c r="R164" s="13">
        <v>64.599999999999994</v>
      </c>
      <c r="S164" s="3">
        <v>0</v>
      </c>
    </row>
    <row r="165" spans="17:19">
      <c r="Q165" s="10">
        <v>45901</v>
      </c>
      <c r="R165" s="13">
        <v>65.7</v>
      </c>
      <c r="S165" s="3">
        <v>0</v>
      </c>
    </row>
    <row r="166" spans="17:19">
      <c r="Q166" s="10">
        <v>45992</v>
      </c>
      <c r="R166" s="13">
        <v>59.6</v>
      </c>
      <c r="S166" s="3">
        <v>0</v>
      </c>
    </row>
  </sheetData>
  <mergeCells count="1">
    <mergeCell ref="A34:O40"/>
  </mergeCells>
  <hyperlinks>
    <hyperlink ref="A42" location="'Read Me'!A1" display="Return to Read Me" xr:uid="{86C2FEA1-C17A-4324-B6B7-DFC86A0C80CB}"/>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5F49-503B-49A6-BE75-839C9CE12AA0}">
  <dimension ref="A1:S166"/>
  <sheetViews>
    <sheetView zoomScale="70" zoomScaleNormal="70" workbookViewId="0">
      <selection activeCell="I42" sqref="I42"/>
    </sheetView>
  </sheetViews>
  <sheetFormatPr defaultColWidth="9.1328125" defaultRowHeight="17.25"/>
  <cols>
    <col min="1" max="16" width="9.1328125" style="3"/>
    <col min="17" max="17" width="10.265625" style="3" bestFit="1" customWidth="1"/>
    <col min="18" max="16384" width="9.1328125" style="3"/>
  </cols>
  <sheetData>
    <row r="1" spans="1:19" ht="25.15">
      <c r="A1" s="2" t="s">
        <v>63</v>
      </c>
    </row>
    <row r="2" spans="1:19">
      <c r="Q2" s="16" t="s">
        <v>0</v>
      </c>
      <c r="R2" s="3" t="s">
        <v>65</v>
      </c>
      <c r="S2" s="3" t="s">
        <v>12</v>
      </c>
    </row>
    <row r="3" spans="1:19">
      <c r="Q3" s="17">
        <v>31107</v>
      </c>
      <c r="S3" s="3">
        <v>0</v>
      </c>
    </row>
    <row r="4" spans="1:19">
      <c r="Q4" s="17">
        <v>31199</v>
      </c>
      <c r="R4" s="13">
        <v>3</v>
      </c>
      <c r="S4" s="3">
        <v>0</v>
      </c>
    </row>
    <row r="5" spans="1:19">
      <c r="Q5" s="17">
        <v>31291</v>
      </c>
      <c r="R5" s="13">
        <v>-0.2</v>
      </c>
      <c r="S5" s="3">
        <v>0</v>
      </c>
    </row>
    <row r="6" spans="1:19">
      <c r="Q6" s="17">
        <v>31382</v>
      </c>
      <c r="R6" s="13">
        <v>5</v>
      </c>
      <c r="S6" s="3">
        <v>0</v>
      </c>
    </row>
    <row r="7" spans="1:19">
      <c r="Q7" s="17">
        <v>31472</v>
      </c>
      <c r="R7" s="13">
        <v>-41.8</v>
      </c>
      <c r="S7" s="3">
        <v>0</v>
      </c>
    </row>
    <row r="8" spans="1:19">
      <c r="Q8" s="17">
        <v>31564</v>
      </c>
      <c r="R8" s="13">
        <v>-18.100000000000001</v>
      </c>
      <c r="S8" s="3">
        <v>0</v>
      </c>
    </row>
    <row r="9" spans="1:19">
      <c r="Q9" s="17">
        <v>31656</v>
      </c>
      <c r="R9" s="13">
        <v>-0.4</v>
      </c>
      <c r="S9" s="3">
        <v>0</v>
      </c>
    </row>
    <row r="10" spans="1:19">
      <c r="Q10" s="17">
        <v>31747</v>
      </c>
      <c r="R10" s="13">
        <v>11</v>
      </c>
      <c r="S10" s="3">
        <v>0</v>
      </c>
    </row>
    <row r="11" spans="1:19">
      <c r="Q11" s="17">
        <v>31837</v>
      </c>
      <c r="R11" s="13">
        <v>18.5</v>
      </c>
      <c r="S11" s="3">
        <v>0</v>
      </c>
    </row>
    <row r="12" spans="1:19">
      <c r="Q12" s="17">
        <v>31929</v>
      </c>
      <c r="R12" s="13">
        <v>6.2</v>
      </c>
      <c r="S12" s="3">
        <v>0</v>
      </c>
    </row>
    <row r="13" spans="1:19">
      <c r="Q13" s="17">
        <v>32021</v>
      </c>
      <c r="R13" s="13">
        <v>5.3</v>
      </c>
      <c r="S13" s="3">
        <v>0</v>
      </c>
    </row>
    <row r="14" spans="1:19">
      <c r="Q14" s="17">
        <v>32112</v>
      </c>
      <c r="R14" s="13">
        <v>-8.4</v>
      </c>
      <c r="S14" s="3">
        <v>0</v>
      </c>
    </row>
    <row r="15" spans="1:19">
      <c r="Q15" s="17">
        <v>32203</v>
      </c>
      <c r="R15" s="13">
        <v>-10.5</v>
      </c>
      <c r="S15" s="3">
        <v>0</v>
      </c>
    </row>
    <row r="16" spans="1:19">
      <c r="Q16" s="17">
        <v>32295</v>
      </c>
      <c r="R16" s="13">
        <v>3.4</v>
      </c>
      <c r="S16" s="3">
        <v>0</v>
      </c>
    </row>
    <row r="17" spans="1:19">
      <c r="Q17" s="17">
        <v>32387</v>
      </c>
      <c r="R17" s="13">
        <v>-12.3</v>
      </c>
      <c r="S17" s="3">
        <v>0</v>
      </c>
    </row>
    <row r="18" spans="1:19">
      <c r="Q18" s="17">
        <v>32478</v>
      </c>
      <c r="R18" s="13">
        <v>-3.2</v>
      </c>
      <c r="S18" s="3">
        <v>0</v>
      </c>
    </row>
    <row r="19" spans="1:19">
      <c r="Q19" s="17">
        <v>32568</v>
      </c>
      <c r="R19" s="13">
        <v>25.5</v>
      </c>
      <c r="S19" s="3">
        <v>0</v>
      </c>
    </row>
    <row r="20" spans="1:19">
      <c r="Q20" s="17">
        <v>32660</v>
      </c>
      <c r="R20" s="13">
        <v>10.5</v>
      </c>
      <c r="S20" s="3">
        <v>0</v>
      </c>
    </row>
    <row r="21" spans="1:19">
      <c r="Q21" s="17">
        <v>32752</v>
      </c>
      <c r="R21" s="13">
        <v>-5.4</v>
      </c>
      <c r="S21" s="3">
        <v>0</v>
      </c>
    </row>
    <row r="22" spans="1:19">
      <c r="Q22" s="17">
        <v>32843</v>
      </c>
      <c r="R22" s="13">
        <v>5.6</v>
      </c>
      <c r="S22" s="3">
        <v>0</v>
      </c>
    </row>
    <row r="23" spans="1:19">
      <c r="Q23" s="17">
        <v>32933</v>
      </c>
      <c r="R23" s="13">
        <v>6.8</v>
      </c>
      <c r="S23" s="3">
        <v>0</v>
      </c>
    </row>
    <row r="24" spans="1:19">
      <c r="Q24" s="17">
        <v>33025</v>
      </c>
      <c r="R24" s="13">
        <v>-17.600000000000001</v>
      </c>
      <c r="S24" s="3">
        <v>0</v>
      </c>
    </row>
    <row r="25" spans="1:19">
      <c r="Q25" s="17">
        <v>33117</v>
      </c>
      <c r="R25" s="13">
        <v>48.1</v>
      </c>
      <c r="S25" s="3">
        <v>10000</v>
      </c>
    </row>
    <row r="26" spans="1:19">
      <c r="Q26" s="17">
        <v>33208</v>
      </c>
      <c r="R26" s="13">
        <v>20.2</v>
      </c>
      <c r="S26" s="3">
        <v>10000</v>
      </c>
    </row>
    <row r="27" spans="1:19">
      <c r="Q27" s="17">
        <v>33298</v>
      </c>
      <c r="R27" s="13">
        <v>-31.6</v>
      </c>
      <c r="S27" s="3">
        <v>10000</v>
      </c>
    </row>
    <row r="28" spans="1:19">
      <c r="Q28" s="17">
        <v>33390</v>
      </c>
      <c r="R28" s="13">
        <v>-4.7</v>
      </c>
      <c r="S28" s="3">
        <v>0</v>
      </c>
    </row>
    <row r="29" spans="1:19">
      <c r="Q29" s="17">
        <v>33482</v>
      </c>
      <c r="R29" s="13">
        <v>4.3</v>
      </c>
      <c r="S29" s="3">
        <v>0</v>
      </c>
    </row>
    <row r="30" spans="1:19">
      <c r="Q30" s="17">
        <v>33573</v>
      </c>
      <c r="R30" s="13">
        <v>0.4</v>
      </c>
      <c r="S30" s="3">
        <v>0</v>
      </c>
    </row>
    <row r="31" spans="1:19">
      <c r="Q31" s="17">
        <v>33664</v>
      </c>
      <c r="R31" s="13">
        <v>-13</v>
      </c>
      <c r="S31" s="3">
        <v>0</v>
      </c>
    </row>
    <row r="32" spans="1:19">
      <c r="A32" s="18" t="s">
        <v>73</v>
      </c>
      <c r="Q32" s="17">
        <v>33756</v>
      </c>
      <c r="R32" s="13">
        <v>12</v>
      </c>
      <c r="S32" s="3">
        <v>0</v>
      </c>
    </row>
    <row r="33" spans="1:19" ht="18" customHeight="1">
      <c r="A33" s="19" t="s">
        <v>76</v>
      </c>
      <c r="B33" s="20"/>
      <c r="C33" s="20"/>
      <c r="D33" s="20"/>
      <c r="E33" s="20"/>
      <c r="F33" s="20"/>
      <c r="G33" s="20"/>
      <c r="H33" s="20"/>
      <c r="I33" s="20"/>
      <c r="J33" s="20"/>
      <c r="K33" s="20"/>
      <c r="L33" s="20"/>
      <c r="M33" s="20"/>
      <c r="N33" s="20"/>
      <c r="O33" s="20"/>
      <c r="Q33" s="17">
        <v>33848</v>
      </c>
      <c r="R33" s="13">
        <v>2.2999999999999998</v>
      </c>
      <c r="S33" s="3">
        <v>0</v>
      </c>
    </row>
    <row r="34" spans="1:19">
      <c r="A34" s="20"/>
      <c r="B34" s="20"/>
      <c r="C34" s="20"/>
      <c r="D34" s="20"/>
      <c r="E34" s="20"/>
      <c r="F34" s="20"/>
      <c r="G34" s="20"/>
      <c r="H34" s="20"/>
      <c r="I34" s="20"/>
      <c r="J34" s="20"/>
      <c r="K34" s="20"/>
      <c r="L34" s="20"/>
      <c r="M34" s="20"/>
      <c r="N34" s="20"/>
      <c r="O34" s="20"/>
      <c r="Q34" s="17">
        <v>33939</v>
      </c>
      <c r="R34" s="13">
        <v>-5.5</v>
      </c>
      <c r="S34" s="3">
        <v>0</v>
      </c>
    </row>
    <row r="35" spans="1:19">
      <c r="A35" s="20"/>
      <c r="B35" s="20"/>
      <c r="C35" s="20"/>
      <c r="D35" s="20"/>
      <c r="E35" s="20"/>
      <c r="F35" s="20"/>
      <c r="G35" s="20"/>
      <c r="H35" s="20"/>
      <c r="I35" s="20"/>
      <c r="J35" s="20"/>
      <c r="K35" s="20"/>
      <c r="L35" s="20"/>
      <c r="M35" s="20"/>
      <c r="N35" s="20"/>
      <c r="O35" s="20"/>
      <c r="Q35" s="17">
        <v>34029</v>
      </c>
      <c r="R35" s="13">
        <v>-3.2</v>
      </c>
      <c r="S35" s="3">
        <v>0</v>
      </c>
    </row>
    <row r="36" spans="1:19">
      <c r="A36" s="20"/>
      <c r="B36" s="20"/>
      <c r="C36" s="20"/>
      <c r="D36" s="20"/>
      <c r="E36" s="20"/>
      <c r="F36" s="20"/>
      <c r="G36" s="20"/>
      <c r="H36" s="20"/>
      <c r="I36" s="20"/>
      <c r="J36" s="20"/>
      <c r="K36" s="20"/>
      <c r="L36" s="20"/>
      <c r="M36" s="20"/>
      <c r="N36" s="20"/>
      <c r="O36" s="20"/>
      <c r="Q36" s="17">
        <v>34121</v>
      </c>
      <c r="R36" s="13">
        <v>-0.3</v>
      </c>
      <c r="S36" s="3">
        <v>0</v>
      </c>
    </row>
    <row r="37" spans="1:19">
      <c r="A37" s="20"/>
      <c r="B37" s="20"/>
      <c r="C37" s="20"/>
      <c r="D37" s="20"/>
      <c r="E37" s="20"/>
      <c r="F37" s="20"/>
      <c r="G37" s="20"/>
      <c r="H37" s="20"/>
      <c r="I37" s="20"/>
      <c r="J37" s="20"/>
      <c r="K37" s="20"/>
      <c r="L37" s="20"/>
      <c r="M37" s="20"/>
      <c r="N37" s="20"/>
      <c r="O37" s="20"/>
      <c r="Q37" s="17">
        <v>34213</v>
      </c>
      <c r="R37" s="13">
        <v>-9.9</v>
      </c>
      <c r="S37" s="3">
        <v>0</v>
      </c>
    </row>
    <row r="38" spans="1:19">
      <c r="A38" s="20"/>
      <c r="B38" s="20"/>
      <c r="C38" s="20"/>
      <c r="D38" s="20"/>
      <c r="E38" s="20"/>
      <c r="F38" s="20"/>
      <c r="G38" s="20"/>
      <c r="H38" s="20"/>
      <c r="I38" s="20"/>
      <c r="J38" s="20"/>
      <c r="K38" s="20"/>
      <c r="L38" s="20"/>
      <c r="M38" s="20"/>
      <c r="N38" s="20"/>
      <c r="O38" s="20"/>
      <c r="Q38" s="17">
        <v>34304</v>
      </c>
      <c r="R38" s="13">
        <v>-7.6</v>
      </c>
      <c r="S38" s="3">
        <v>0</v>
      </c>
    </row>
    <row r="39" spans="1:19">
      <c r="A39" s="20"/>
      <c r="B39" s="20"/>
      <c r="C39" s="20"/>
      <c r="D39" s="20"/>
      <c r="E39" s="20"/>
      <c r="F39" s="20"/>
      <c r="G39" s="20"/>
      <c r="H39" s="20"/>
      <c r="I39" s="20"/>
      <c r="J39" s="20"/>
      <c r="K39" s="20"/>
      <c r="L39" s="20"/>
      <c r="M39" s="20"/>
      <c r="N39" s="20"/>
      <c r="O39" s="20"/>
      <c r="Q39" s="17">
        <v>34394</v>
      </c>
      <c r="R39" s="13">
        <v>-10</v>
      </c>
      <c r="S39" s="3">
        <v>0</v>
      </c>
    </row>
    <row r="40" spans="1:19">
      <c r="A40" s="11"/>
      <c r="B40" s="11"/>
      <c r="C40" s="11"/>
      <c r="D40" s="11"/>
      <c r="E40" s="11"/>
      <c r="F40" s="11"/>
      <c r="G40" s="11"/>
      <c r="H40" s="11"/>
      <c r="I40" s="11"/>
      <c r="J40" s="11"/>
      <c r="K40" s="11"/>
      <c r="L40" s="11"/>
      <c r="M40" s="11"/>
      <c r="N40" s="11"/>
      <c r="O40" s="11"/>
      <c r="Q40" s="17">
        <v>34486</v>
      </c>
      <c r="R40" s="13">
        <v>20</v>
      </c>
      <c r="S40" s="3">
        <v>0</v>
      </c>
    </row>
    <row r="41" spans="1:19">
      <c r="Q41" s="17">
        <v>34578</v>
      </c>
      <c r="R41" s="13">
        <v>4.0999999999999996</v>
      </c>
      <c r="S41" s="3">
        <v>0</v>
      </c>
    </row>
    <row r="42" spans="1:19">
      <c r="A42" s="9" t="s">
        <v>60</v>
      </c>
      <c r="Q42" s="17">
        <v>34669</v>
      </c>
      <c r="R42" s="13">
        <v>-4.5</v>
      </c>
      <c r="S42" s="3">
        <v>0</v>
      </c>
    </row>
    <row r="43" spans="1:19">
      <c r="Q43" s="17">
        <v>34759</v>
      </c>
      <c r="R43" s="13">
        <v>4</v>
      </c>
      <c r="S43" s="3">
        <v>0</v>
      </c>
    </row>
    <row r="44" spans="1:19">
      <c r="Q44" s="17">
        <v>34851</v>
      </c>
      <c r="R44" s="13">
        <v>5.4</v>
      </c>
      <c r="S44" s="3">
        <v>0</v>
      </c>
    </row>
    <row r="45" spans="1:19">
      <c r="Q45" s="17">
        <v>34943</v>
      </c>
      <c r="R45" s="13">
        <v>-7.7</v>
      </c>
      <c r="S45" s="3">
        <v>0</v>
      </c>
    </row>
    <row r="46" spans="1:19">
      <c r="Q46" s="17">
        <v>35034</v>
      </c>
      <c r="R46" s="13">
        <v>1.7</v>
      </c>
      <c r="S46" s="3">
        <v>0</v>
      </c>
    </row>
    <row r="47" spans="1:19">
      <c r="Q47" s="17">
        <v>35125</v>
      </c>
      <c r="R47" s="13">
        <v>8.9</v>
      </c>
      <c r="S47" s="3">
        <v>0</v>
      </c>
    </row>
    <row r="48" spans="1:19">
      <c r="Q48" s="17">
        <v>35217</v>
      </c>
      <c r="R48" s="13">
        <v>10</v>
      </c>
      <c r="S48" s="3">
        <v>0</v>
      </c>
    </row>
    <row r="49" spans="17:19">
      <c r="Q49" s="17">
        <v>35309</v>
      </c>
      <c r="R49" s="13">
        <v>3.1</v>
      </c>
      <c r="S49" s="3">
        <v>0</v>
      </c>
    </row>
    <row r="50" spans="17:19">
      <c r="Q50" s="17">
        <v>35400</v>
      </c>
      <c r="R50" s="13">
        <v>10</v>
      </c>
      <c r="S50" s="3">
        <v>0</v>
      </c>
    </row>
    <row r="51" spans="17:19">
      <c r="Q51" s="17">
        <v>35490</v>
      </c>
      <c r="R51" s="13">
        <v>-7.6</v>
      </c>
      <c r="S51" s="3">
        <v>0</v>
      </c>
    </row>
    <row r="52" spans="17:19">
      <c r="Q52" s="17">
        <v>35582</v>
      </c>
      <c r="R52" s="13">
        <v>-12.7</v>
      </c>
      <c r="S52" s="3">
        <v>0</v>
      </c>
    </row>
    <row r="53" spans="17:19">
      <c r="Q53" s="17">
        <v>35674</v>
      </c>
      <c r="R53" s="13">
        <v>-0.6</v>
      </c>
      <c r="S53" s="3">
        <v>0</v>
      </c>
    </row>
    <row r="54" spans="17:19">
      <c r="Q54" s="17">
        <v>35765</v>
      </c>
      <c r="R54" s="13">
        <v>0.7</v>
      </c>
      <c r="S54" s="3">
        <v>0</v>
      </c>
    </row>
    <row r="55" spans="17:19">
      <c r="Q55" s="17">
        <v>35855</v>
      </c>
      <c r="R55" s="13">
        <v>-20</v>
      </c>
      <c r="S55" s="3">
        <v>0</v>
      </c>
    </row>
    <row r="56" spans="17:19">
      <c r="Q56" s="17">
        <v>35947</v>
      </c>
      <c r="R56" s="13">
        <v>-8</v>
      </c>
      <c r="S56" s="3">
        <v>0</v>
      </c>
    </row>
    <row r="57" spans="17:19">
      <c r="Q57" s="17">
        <v>36039</v>
      </c>
      <c r="R57" s="13">
        <v>-3.6</v>
      </c>
      <c r="S57" s="3">
        <v>0</v>
      </c>
    </row>
    <row r="58" spans="17:19">
      <c r="Q58" s="17">
        <v>36130</v>
      </c>
      <c r="R58" s="13">
        <v>-9.1</v>
      </c>
      <c r="S58" s="3">
        <v>0</v>
      </c>
    </row>
    <row r="59" spans="17:19">
      <c r="Q59" s="17">
        <v>36220</v>
      </c>
      <c r="R59" s="13">
        <v>1.6</v>
      </c>
      <c r="S59" s="3">
        <v>0</v>
      </c>
    </row>
    <row r="60" spans="17:19">
      <c r="Q60" s="17">
        <v>36312</v>
      </c>
      <c r="R60" s="13">
        <v>35.4</v>
      </c>
      <c r="S60" s="3">
        <v>0</v>
      </c>
    </row>
    <row r="61" spans="17:19">
      <c r="Q61" s="17">
        <v>36404</v>
      </c>
      <c r="R61" s="13">
        <v>23.1</v>
      </c>
      <c r="S61" s="3">
        <v>0</v>
      </c>
    </row>
    <row r="62" spans="17:19">
      <c r="Q62" s="17">
        <v>36495</v>
      </c>
      <c r="R62" s="13">
        <v>13</v>
      </c>
      <c r="S62" s="3">
        <v>0</v>
      </c>
    </row>
    <row r="63" spans="17:19">
      <c r="Q63" s="17">
        <v>36586</v>
      </c>
      <c r="R63" s="13">
        <v>17.3</v>
      </c>
      <c r="S63" s="3">
        <v>0</v>
      </c>
    </row>
    <row r="64" spans="17:19">
      <c r="Q64" s="17">
        <v>36678</v>
      </c>
      <c r="R64" s="13">
        <v>-0.1</v>
      </c>
      <c r="S64" s="3">
        <v>0</v>
      </c>
    </row>
    <row r="65" spans="17:19">
      <c r="Q65" s="17">
        <v>36770</v>
      </c>
      <c r="R65" s="13">
        <v>9.9</v>
      </c>
      <c r="S65" s="3">
        <v>0</v>
      </c>
    </row>
    <row r="66" spans="17:19">
      <c r="Q66" s="17">
        <v>36861</v>
      </c>
      <c r="R66" s="13">
        <v>1.1000000000000001</v>
      </c>
      <c r="S66" s="3">
        <v>0</v>
      </c>
    </row>
    <row r="67" spans="17:19">
      <c r="Q67" s="17">
        <v>36951</v>
      </c>
      <c r="R67" s="13">
        <v>-9.9</v>
      </c>
      <c r="S67" s="3">
        <v>0</v>
      </c>
    </row>
    <row r="68" spans="17:19">
      <c r="Q68" s="17">
        <v>37043</v>
      </c>
      <c r="R68" s="13">
        <v>-3.2</v>
      </c>
      <c r="S68" s="3">
        <v>0</v>
      </c>
    </row>
    <row r="69" spans="17:19">
      <c r="Q69" s="17">
        <v>37135</v>
      </c>
      <c r="R69" s="13">
        <v>-4.5999999999999996</v>
      </c>
      <c r="S69" s="3">
        <v>10000</v>
      </c>
    </row>
    <row r="70" spans="17:19">
      <c r="Q70" s="17">
        <v>37226</v>
      </c>
      <c r="R70" s="13">
        <v>-23.3</v>
      </c>
      <c r="S70" s="3">
        <v>10000</v>
      </c>
    </row>
    <row r="71" spans="17:19">
      <c r="Q71" s="17">
        <v>37316</v>
      </c>
      <c r="R71" s="13">
        <v>5.9</v>
      </c>
      <c r="S71" s="3">
        <v>0</v>
      </c>
    </row>
    <row r="72" spans="17:19">
      <c r="Q72" s="17">
        <v>37408</v>
      </c>
      <c r="R72" s="13">
        <v>21.6</v>
      </c>
      <c r="S72" s="3">
        <v>0</v>
      </c>
    </row>
    <row r="73" spans="17:19">
      <c r="Q73" s="17">
        <v>37500</v>
      </c>
      <c r="R73" s="13">
        <v>7.8</v>
      </c>
      <c r="S73" s="3">
        <v>0</v>
      </c>
    </row>
    <row r="74" spans="17:19">
      <c r="Q74" s="17">
        <v>37591</v>
      </c>
      <c r="R74" s="13">
        <v>-0.5</v>
      </c>
      <c r="S74" s="3">
        <v>10000</v>
      </c>
    </row>
    <row r="75" spans="17:19">
      <c r="Q75" s="17">
        <v>37681</v>
      </c>
      <c r="R75" s="13">
        <v>21.1</v>
      </c>
      <c r="S75" s="3">
        <v>10000</v>
      </c>
    </row>
    <row r="76" spans="17:19">
      <c r="Q76" s="17">
        <v>37773</v>
      </c>
      <c r="R76" s="13">
        <v>-14.9</v>
      </c>
      <c r="S76" s="3">
        <v>0</v>
      </c>
    </row>
    <row r="77" spans="17:19">
      <c r="Q77" s="17">
        <v>37865</v>
      </c>
      <c r="R77" s="13">
        <v>4.0999999999999996</v>
      </c>
      <c r="S77" s="3">
        <v>0</v>
      </c>
    </row>
    <row r="78" spans="17:19">
      <c r="Q78" s="17">
        <v>37956</v>
      </c>
      <c r="R78" s="13">
        <v>3.2</v>
      </c>
      <c r="S78" s="3">
        <v>0</v>
      </c>
    </row>
    <row r="79" spans="17:19">
      <c r="Q79" s="17">
        <v>38047</v>
      </c>
      <c r="R79" s="13">
        <v>13</v>
      </c>
      <c r="S79" s="3">
        <v>0</v>
      </c>
    </row>
    <row r="80" spans="17:19">
      <c r="Q80" s="17">
        <v>38139</v>
      </c>
      <c r="R80" s="13">
        <v>8.6999999999999993</v>
      </c>
      <c r="S80" s="3">
        <v>0</v>
      </c>
    </row>
    <row r="81" spans="17:19">
      <c r="Q81" s="17">
        <v>38231</v>
      </c>
      <c r="R81" s="13">
        <v>14.4</v>
      </c>
      <c r="S81" s="3">
        <v>0</v>
      </c>
    </row>
    <row r="82" spans="17:19">
      <c r="Q82" s="17">
        <v>38322</v>
      </c>
      <c r="R82" s="13">
        <v>10.1</v>
      </c>
      <c r="S82" s="3">
        <v>0</v>
      </c>
    </row>
    <row r="83" spans="17:19">
      <c r="Q83" s="17">
        <v>38412</v>
      </c>
      <c r="R83" s="13">
        <v>2.9</v>
      </c>
      <c r="S83" s="3">
        <v>0</v>
      </c>
    </row>
    <row r="84" spans="17:19">
      <c r="Q84" s="17">
        <v>38504</v>
      </c>
      <c r="R84" s="13">
        <v>6.7</v>
      </c>
      <c r="S84" s="3">
        <v>0</v>
      </c>
    </row>
    <row r="85" spans="17:19">
      <c r="Q85" s="17">
        <v>38596</v>
      </c>
      <c r="R85" s="13">
        <v>18.899999999999999</v>
      </c>
      <c r="S85" s="3">
        <v>0</v>
      </c>
    </row>
    <row r="86" spans="17:19">
      <c r="Q86" s="17">
        <v>38687</v>
      </c>
      <c r="R86" s="13">
        <v>-4.8</v>
      </c>
      <c r="S86" s="3">
        <v>0</v>
      </c>
    </row>
    <row r="87" spans="17:19">
      <c r="Q87" s="17">
        <v>38777</v>
      </c>
      <c r="R87" s="13">
        <v>5.5</v>
      </c>
      <c r="S87" s="3">
        <v>0</v>
      </c>
    </row>
    <row r="88" spans="17:19">
      <c r="Q88" s="17">
        <v>38869</v>
      </c>
      <c r="R88" s="13">
        <v>11.3</v>
      </c>
      <c r="S88" s="3">
        <v>0</v>
      </c>
    </row>
    <row r="89" spans="17:19">
      <c r="Q89" s="17">
        <v>38961</v>
      </c>
      <c r="R89" s="13">
        <v>-0.1</v>
      </c>
      <c r="S89" s="3">
        <v>0</v>
      </c>
    </row>
    <row r="90" spans="17:19">
      <c r="Q90" s="17">
        <v>39052</v>
      </c>
      <c r="R90" s="13">
        <v>-14.7</v>
      </c>
      <c r="S90" s="3">
        <v>0</v>
      </c>
    </row>
    <row r="91" spans="17:19">
      <c r="Q91" s="17">
        <v>39142</v>
      </c>
      <c r="R91" s="13">
        <v>-3.3</v>
      </c>
      <c r="S91" s="3">
        <v>0</v>
      </c>
    </row>
    <row r="92" spans="17:19">
      <c r="Q92" s="17">
        <v>39234</v>
      </c>
      <c r="R92" s="13">
        <v>11.8</v>
      </c>
      <c r="S92" s="3">
        <v>0</v>
      </c>
    </row>
    <row r="93" spans="17:19">
      <c r="Q93" s="17">
        <v>39326</v>
      </c>
      <c r="R93" s="13">
        <v>16.2</v>
      </c>
      <c r="S93" s="3">
        <v>0</v>
      </c>
    </row>
    <row r="94" spans="17:19">
      <c r="Q94" s="17">
        <v>39417</v>
      </c>
      <c r="R94" s="13">
        <v>20.3</v>
      </c>
      <c r="S94" s="3">
        <v>0</v>
      </c>
    </row>
    <row r="95" spans="17:19">
      <c r="Q95" s="17">
        <v>39508</v>
      </c>
      <c r="R95" s="13">
        <v>7.8</v>
      </c>
      <c r="S95" s="3">
        <v>0</v>
      </c>
    </row>
    <row r="96" spans="17:19">
      <c r="Q96" s="17">
        <v>39600</v>
      </c>
      <c r="R96" s="13">
        <v>26.6</v>
      </c>
      <c r="S96" s="3">
        <v>0</v>
      </c>
    </row>
    <row r="97" spans="17:19">
      <c r="Q97" s="17">
        <v>39692</v>
      </c>
      <c r="R97" s="13">
        <v>-4.8</v>
      </c>
      <c r="S97" s="3">
        <v>0</v>
      </c>
    </row>
    <row r="98" spans="17:19">
      <c r="Q98" s="17">
        <v>39783</v>
      </c>
      <c r="R98" s="13">
        <v>-50.5</v>
      </c>
      <c r="S98" s="3">
        <v>0</v>
      </c>
    </row>
    <row r="99" spans="17:19">
      <c r="Q99" s="17">
        <v>39873</v>
      </c>
      <c r="R99" s="13">
        <v>-26.4</v>
      </c>
      <c r="S99" s="3">
        <v>0</v>
      </c>
    </row>
    <row r="100" spans="17:19">
      <c r="Q100" s="17">
        <v>39965</v>
      </c>
      <c r="R100" s="13">
        <v>38.6</v>
      </c>
      <c r="S100" s="3">
        <v>0</v>
      </c>
    </row>
    <row r="101" spans="17:19">
      <c r="Q101" s="17">
        <v>40057</v>
      </c>
      <c r="R101" s="13">
        <v>14.5</v>
      </c>
      <c r="S101" s="3">
        <v>0</v>
      </c>
    </row>
    <row r="102" spans="17:19">
      <c r="Q102" s="17">
        <v>40148</v>
      </c>
      <c r="R102" s="13">
        <v>11.5</v>
      </c>
      <c r="S102" s="3">
        <v>0</v>
      </c>
    </row>
    <row r="103" spans="17:19">
      <c r="Q103" s="17">
        <v>40238</v>
      </c>
      <c r="R103" s="13">
        <v>3.4</v>
      </c>
      <c r="S103" s="3">
        <v>0</v>
      </c>
    </row>
    <row r="104" spans="17:19">
      <c r="Q104" s="17">
        <v>40330</v>
      </c>
      <c r="R104" s="13">
        <v>-0.9</v>
      </c>
      <c r="S104" s="3">
        <v>0</v>
      </c>
    </row>
    <row r="105" spans="17:19">
      <c r="Q105" s="17">
        <v>40422</v>
      </c>
      <c r="R105" s="13">
        <v>-2.2000000000000002</v>
      </c>
      <c r="S105" s="3">
        <v>0</v>
      </c>
    </row>
    <row r="106" spans="17:19">
      <c r="Q106" s="17">
        <v>40513</v>
      </c>
      <c r="R106" s="13">
        <v>11.6</v>
      </c>
      <c r="S106" s="3">
        <v>0</v>
      </c>
    </row>
    <row r="107" spans="17:19">
      <c r="Q107" s="17">
        <v>40603</v>
      </c>
      <c r="R107" s="13">
        <v>10.5</v>
      </c>
      <c r="S107" s="3">
        <v>10000</v>
      </c>
    </row>
    <row r="108" spans="17:19">
      <c r="Q108" s="17">
        <v>40695</v>
      </c>
      <c r="R108" s="13">
        <v>9.1</v>
      </c>
      <c r="S108" s="3">
        <v>10000</v>
      </c>
    </row>
    <row r="109" spans="17:19">
      <c r="Q109" s="17">
        <v>40787</v>
      </c>
      <c r="R109" s="13">
        <v>-12.5</v>
      </c>
      <c r="S109" s="3">
        <v>0</v>
      </c>
    </row>
    <row r="110" spans="17:19">
      <c r="Q110" s="17">
        <v>40878</v>
      </c>
      <c r="R110" s="13">
        <v>4.9000000000000004</v>
      </c>
      <c r="S110" s="3">
        <v>0</v>
      </c>
    </row>
    <row r="111" spans="17:19">
      <c r="Q111" s="17">
        <v>40969</v>
      </c>
      <c r="R111" s="13">
        <v>9.4</v>
      </c>
      <c r="S111" s="3">
        <v>0</v>
      </c>
    </row>
    <row r="112" spans="17:19">
      <c r="Q112" s="17">
        <v>41061</v>
      </c>
      <c r="R112" s="13">
        <v>-9.1</v>
      </c>
      <c r="S112" s="3">
        <v>0</v>
      </c>
    </row>
    <row r="113" spans="17:19">
      <c r="Q113" s="17">
        <v>41153</v>
      </c>
      <c r="R113" s="13">
        <v>-1.3</v>
      </c>
      <c r="S113" s="3">
        <v>0</v>
      </c>
    </row>
    <row r="114" spans="17:19">
      <c r="Q114" s="17">
        <v>41244</v>
      </c>
      <c r="R114" s="13">
        <v>-4.5</v>
      </c>
      <c r="S114" s="3">
        <v>0</v>
      </c>
    </row>
    <row r="115" spans="17:19">
      <c r="Q115" s="17">
        <v>41334</v>
      </c>
      <c r="R115" s="13">
        <v>7</v>
      </c>
      <c r="S115" s="3">
        <v>0</v>
      </c>
    </row>
    <row r="116" spans="17:19">
      <c r="Q116" s="17">
        <v>41426</v>
      </c>
      <c r="R116" s="13">
        <v>-0.1</v>
      </c>
      <c r="S116" s="3">
        <v>0</v>
      </c>
    </row>
    <row r="117" spans="17:19">
      <c r="Q117" s="17">
        <v>41518</v>
      </c>
      <c r="R117" s="13">
        <v>12.3</v>
      </c>
      <c r="S117" s="3">
        <v>0</v>
      </c>
    </row>
    <row r="118" spans="17:19">
      <c r="Q118" s="17">
        <v>41609</v>
      </c>
      <c r="R118" s="13">
        <v>-8</v>
      </c>
      <c r="S118" s="3">
        <v>0</v>
      </c>
    </row>
    <row r="119" spans="17:19">
      <c r="Q119" s="17">
        <v>41699</v>
      </c>
      <c r="R119" s="13">
        <v>1.4</v>
      </c>
      <c r="S119" s="3">
        <v>0</v>
      </c>
    </row>
    <row r="120" spans="17:19">
      <c r="Q120" s="17">
        <v>41791</v>
      </c>
      <c r="R120" s="13">
        <v>4.7</v>
      </c>
      <c r="S120" s="3">
        <v>0</v>
      </c>
    </row>
    <row r="121" spans="17:19">
      <c r="Q121" s="17">
        <v>41883</v>
      </c>
      <c r="R121" s="13">
        <v>-5.4</v>
      </c>
      <c r="S121" s="3">
        <v>10000</v>
      </c>
    </row>
    <row r="122" spans="17:19">
      <c r="Q122" s="17">
        <v>41974</v>
      </c>
      <c r="R122" s="13">
        <v>-25.2</v>
      </c>
      <c r="S122" s="3">
        <v>10000</v>
      </c>
    </row>
    <row r="123" spans="17:19">
      <c r="Q123" s="17">
        <v>42064</v>
      </c>
      <c r="R123" s="13">
        <v>-33.700000000000003</v>
      </c>
      <c r="S123" s="3">
        <v>10000</v>
      </c>
    </row>
    <row r="124" spans="17:19">
      <c r="Q124" s="17">
        <v>42156</v>
      </c>
      <c r="R124" s="13">
        <v>19.2</v>
      </c>
      <c r="S124" s="3">
        <v>0</v>
      </c>
    </row>
    <row r="125" spans="17:19">
      <c r="Q125" s="17">
        <v>42248</v>
      </c>
      <c r="R125" s="13">
        <v>-19.8</v>
      </c>
      <c r="S125" s="3">
        <v>0</v>
      </c>
    </row>
    <row r="126" spans="17:19">
      <c r="Q126" s="17">
        <v>42339</v>
      </c>
      <c r="R126" s="13">
        <v>-9.6</v>
      </c>
      <c r="S126" s="3">
        <v>0</v>
      </c>
    </row>
    <row r="127" spans="17:19">
      <c r="Q127" s="17">
        <v>42430</v>
      </c>
      <c r="R127" s="13">
        <v>-20.9</v>
      </c>
      <c r="S127" s="3">
        <v>0</v>
      </c>
    </row>
    <row r="128" spans="17:19">
      <c r="Q128" s="17">
        <v>42522</v>
      </c>
      <c r="R128" s="13">
        <v>36.799999999999997</v>
      </c>
      <c r="S128" s="3">
        <v>0</v>
      </c>
    </row>
    <row r="129" spans="17:19">
      <c r="Q129" s="17">
        <v>42614</v>
      </c>
      <c r="R129" s="13">
        <v>-1.2</v>
      </c>
      <c r="S129" s="3">
        <v>0</v>
      </c>
    </row>
    <row r="130" spans="17:19">
      <c r="Q130" s="17">
        <v>42705</v>
      </c>
      <c r="R130" s="13">
        <v>9.6</v>
      </c>
      <c r="S130" s="3">
        <v>0</v>
      </c>
    </row>
    <row r="131" spans="17:19">
      <c r="Q131" s="17">
        <v>42795</v>
      </c>
      <c r="R131" s="13">
        <v>5.4</v>
      </c>
      <c r="S131" s="3">
        <v>0</v>
      </c>
    </row>
    <row r="132" spans="17:19">
      <c r="Q132" s="17">
        <v>42887</v>
      </c>
      <c r="R132" s="13">
        <v>-6.8</v>
      </c>
      <c r="S132" s="3">
        <v>0</v>
      </c>
    </row>
    <row r="133" spans="17:19">
      <c r="Q133" s="17">
        <v>42979</v>
      </c>
      <c r="R133" s="13">
        <v>-0.2</v>
      </c>
      <c r="S133" s="3">
        <v>0</v>
      </c>
    </row>
    <row r="134" spans="17:19">
      <c r="Q134" s="17">
        <v>43070</v>
      </c>
      <c r="R134" s="13">
        <v>15</v>
      </c>
      <c r="S134" s="3">
        <v>0</v>
      </c>
    </row>
    <row r="135" spans="17:19">
      <c r="Q135" s="17">
        <v>43160</v>
      </c>
      <c r="R135" s="13">
        <v>13.6</v>
      </c>
      <c r="S135" s="3">
        <v>0</v>
      </c>
    </row>
    <row r="136" spans="17:19">
      <c r="Q136" s="17">
        <v>43252</v>
      </c>
      <c r="R136" s="13">
        <v>8.1999999999999993</v>
      </c>
      <c r="S136" s="3">
        <v>0</v>
      </c>
    </row>
    <row r="137" spans="17:19">
      <c r="Q137" s="17">
        <v>43344</v>
      </c>
      <c r="R137" s="13">
        <v>2.5</v>
      </c>
      <c r="S137" s="3">
        <v>0</v>
      </c>
    </row>
    <row r="138" spans="17:19">
      <c r="Q138" s="17">
        <v>43435</v>
      </c>
      <c r="R138" s="13">
        <v>-15.3</v>
      </c>
      <c r="S138" s="3">
        <v>0</v>
      </c>
    </row>
    <row r="139" spans="17:19">
      <c r="Q139" s="17">
        <v>43525</v>
      </c>
      <c r="R139" s="13">
        <v>-7.2</v>
      </c>
      <c r="S139" s="3">
        <v>0</v>
      </c>
    </row>
    <row r="140" spans="17:19">
      <c r="Q140" s="17">
        <v>43617</v>
      </c>
      <c r="R140" s="13">
        <v>9</v>
      </c>
      <c r="S140" s="3">
        <v>0</v>
      </c>
    </row>
    <row r="141" spans="17:19">
      <c r="Q141" s="17">
        <v>43709</v>
      </c>
      <c r="R141" s="13">
        <v>-5.7</v>
      </c>
      <c r="S141" s="3">
        <v>10000</v>
      </c>
    </row>
    <row r="142" spans="17:19">
      <c r="Q142" s="17">
        <v>43800</v>
      </c>
      <c r="R142" s="13">
        <v>1</v>
      </c>
      <c r="S142" s="3">
        <v>10000</v>
      </c>
    </row>
    <row r="143" spans="17:19">
      <c r="Q143" s="17">
        <v>43891</v>
      </c>
      <c r="R143" s="13">
        <v>-19.7</v>
      </c>
      <c r="S143" s="3">
        <v>0</v>
      </c>
    </row>
    <row r="144" spans="17:19">
      <c r="Q144" s="17">
        <v>43983</v>
      </c>
      <c r="R144" s="13">
        <v>-39.200000000000003</v>
      </c>
      <c r="S144" s="3">
        <v>0</v>
      </c>
    </row>
    <row r="145" spans="17:19">
      <c r="Q145" s="17">
        <v>44075</v>
      </c>
      <c r="R145" s="13">
        <v>47.1</v>
      </c>
      <c r="S145" s="3">
        <v>0</v>
      </c>
    </row>
    <row r="146" spans="17:19">
      <c r="Q146" s="17">
        <v>44166</v>
      </c>
      <c r="R146" s="13">
        <v>3.8</v>
      </c>
      <c r="S146" s="3">
        <v>0</v>
      </c>
    </row>
    <row r="147" spans="17:19">
      <c r="Q147" s="17">
        <v>44256</v>
      </c>
      <c r="R147" s="13">
        <v>36.1</v>
      </c>
      <c r="S147" s="3">
        <v>0</v>
      </c>
    </row>
    <row r="148" spans="17:19">
      <c r="Q148" s="17">
        <v>44348</v>
      </c>
      <c r="R148" s="13">
        <v>14.4</v>
      </c>
      <c r="S148" s="3">
        <v>0</v>
      </c>
    </row>
    <row r="149" spans="17:19">
      <c r="Q149" s="17">
        <v>44440</v>
      </c>
      <c r="R149" s="13">
        <v>6.9</v>
      </c>
      <c r="S149" s="3">
        <v>0</v>
      </c>
    </row>
    <row r="150" spans="17:19">
      <c r="Q150" s="17">
        <v>44531</v>
      </c>
      <c r="R150" s="13">
        <v>9.6999999999999993</v>
      </c>
      <c r="S150" s="3">
        <v>0</v>
      </c>
    </row>
    <row r="151" spans="17:19">
      <c r="Q151" s="17">
        <v>44621</v>
      </c>
      <c r="R151" s="13">
        <v>22</v>
      </c>
      <c r="S151" s="3">
        <v>10000</v>
      </c>
    </row>
    <row r="152" spans="17:19">
      <c r="Q152" s="17">
        <v>44713</v>
      </c>
      <c r="R152" s="13">
        <v>15.1</v>
      </c>
      <c r="S152" s="3">
        <v>10000</v>
      </c>
    </row>
    <row r="153" spans="17:19">
      <c r="Q153" s="17">
        <v>44805</v>
      </c>
      <c r="R153" s="13">
        <v>-14.3</v>
      </c>
      <c r="S153" s="3">
        <v>0</v>
      </c>
    </row>
    <row r="154" spans="17:19">
      <c r="Q154" s="17">
        <v>44896</v>
      </c>
      <c r="R154" s="13">
        <v>-11.2</v>
      </c>
      <c r="S154" s="3">
        <v>0</v>
      </c>
    </row>
    <row r="155" spans="17:19">
      <c r="Q155" s="17">
        <v>44986</v>
      </c>
      <c r="R155" s="13">
        <v>-8.1</v>
      </c>
      <c r="S155" s="3">
        <v>0</v>
      </c>
    </row>
    <row r="156" spans="17:19">
      <c r="Q156" s="17">
        <v>45078</v>
      </c>
      <c r="R156" s="13">
        <v>-3</v>
      </c>
      <c r="S156" s="3">
        <v>0</v>
      </c>
    </row>
    <row r="157" spans="17:19">
      <c r="Q157" s="17">
        <v>45170</v>
      </c>
      <c r="R157" s="13">
        <v>11.6</v>
      </c>
      <c r="S157" s="3">
        <v>10000</v>
      </c>
    </row>
    <row r="158" spans="17:19">
      <c r="Q158" s="17">
        <v>45261</v>
      </c>
      <c r="R158" s="13">
        <v>-4.7</v>
      </c>
      <c r="S158" s="3">
        <v>10000</v>
      </c>
    </row>
    <row r="159" spans="17:19">
      <c r="Q159" s="17">
        <v>45352</v>
      </c>
      <c r="R159" s="13">
        <v>-1.1000000000000001</v>
      </c>
      <c r="S159" s="3">
        <v>0</v>
      </c>
    </row>
    <row r="160" spans="17:19">
      <c r="Q160" s="17">
        <v>45444</v>
      </c>
      <c r="R160" s="13">
        <v>5.4</v>
      </c>
      <c r="S160" s="3">
        <v>0</v>
      </c>
    </row>
    <row r="161" spans="17:19">
      <c r="Q161" s="17">
        <v>45536</v>
      </c>
      <c r="R161" s="13">
        <v>-6.7</v>
      </c>
      <c r="S161" s="3">
        <v>0</v>
      </c>
    </row>
    <row r="162" spans="17:19">
      <c r="Q162" s="17">
        <v>45627</v>
      </c>
      <c r="R162" s="13">
        <v>-7.3</v>
      </c>
      <c r="S162" s="3">
        <v>0</v>
      </c>
    </row>
    <row r="163" spans="17:19">
      <c r="Q163" s="17">
        <v>45717</v>
      </c>
      <c r="R163" s="13">
        <v>1.6</v>
      </c>
      <c r="S163" s="3">
        <v>0</v>
      </c>
    </row>
    <row r="164" spans="17:19">
      <c r="Q164" s="17">
        <v>45809</v>
      </c>
      <c r="R164" s="13">
        <v>-10</v>
      </c>
      <c r="S164" s="3">
        <v>0</v>
      </c>
    </row>
    <row r="165" spans="17:19">
      <c r="Q165" s="17">
        <v>45901</v>
      </c>
      <c r="R165" s="13">
        <v>1.7</v>
      </c>
      <c r="S165" s="3">
        <v>0</v>
      </c>
    </row>
    <row r="166" spans="17:19">
      <c r="Q166" s="17">
        <v>45992</v>
      </c>
      <c r="R166" s="13">
        <v>-9.3000000000000007</v>
      </c>
      <c r="S166" s="3">
        <v>0</v>
      </c>
    </row>
  </sheetData>
  <mergeCells count="1">
    <mergeCell ref="A33:O39"/>
  </mergeCells>
  <hyperlinks>
    <hyperlink ref="A42" location="'Read Me'!A1" display="Return to Read Me" xr:uid="{C06549B3-4B65-4764-AA93-6CB71D3CECAC}"/>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E50DD-CC40-463F-82CD-E6DD1BB521F8}">
  <dimension ref="A1:V166"/>
  <sheetViews>
    <sheetView zoomScale="70" zoomScaleNormal="70" workbookViewId="0">
      <selection activeCell="H50" sqref="H50"/>
    </sheetView>
  </sheetViews>
  <sheetFormatPr defaultRowHeight="17.25"/>
  <cols>
    <col min="17" max="17" width="12.59765625" customWidth="1"/>
    <col min="20" max="20" width="10.265625" style="3" bestFit="1" customWidth="1"/>
    <col min="21" max="22" width="9.1328125" style="3"/>
  </cols>
  <sheetData>
    <row r="1" spans="1:19" ht="25.15">
      <c r="A1" s="2" t="s">
        <v>46</v>
      </c>
    </row>
    <row r="2" spans="1:19">
      <c r="Q2" s="3" t="s">
        <v>0</v>
      </c>
      <c r="R2" s="3" t="s">
        <v>66</v>
      </c>
      <c r="S2" s="3" t="s">
        <v>12</v>
      </c>
    </row>
    <row r="3" spans="1:19">
      <c r="Q3" s="10">
        <v>31107</v>
      </c>
      <c r="R3" s="13">
        <v>120.4</v>
      </c>
      <c r="S3" s="3">
        <v>0</v>
      </c>
    </row>
    <row r="4" spans="1:19">
      <c r="Q4" s="10">
        <v>31199</v>
      </c>
      <c r="R4" s="13">
        <v>113.5</v>
      </c>
      <c r="S4" s="3">
        <v>0</v>
      </c>
    </row>
    <row r="5" spans="1:19">
      <c r="Q5" s="10">
        <v>31291</v>
      </c>
      <c r="R5" s="13">
        <v>101</v>
      </c>
      <c r="S5" s="3">
        <v>0</v>
      </c>
    </row>
    <row r="6" spans="1:19">
      <c r="Q6" s="10">
        <v>31382</v>
      </c>
      <c r="R6" s="13">
        <v>90</v>
      </c>
      <c r="S6" s="3">
        <v>0</v>
      </c>
    </row>
    <row r="7" spans="1:19">
      <c r="Q7" s="10">
        <v>31472</v>
      </c>
      <c r="R7" s="13">
        <v>102.3</v>
      </c>
      <c r="S7" s="3">
        <v>0</v>
      </c>
    </row>
    <row r="8" spans="1:19">
      <c r="Q8" s="10">
        <v>31564</v>
      </c>
      <c r="R8" s="13">
        <v>125.4</v>
      </c>
      <c r="S8" s="3">
        <v>0</v>
      </c>
    </row>
    <row r="9" spans="1:19">
      <c r="Q9" s="10">
        <v>31656</v>
      </c>
      <c r="R9" s="13">
        <v>103.6</v>
      </c>
      <c r="S9" s="3">
        <v>0</v>
      </c>
    </row>
    <row r="10" spans="1:19">
      <c r="Q10" s="10">
        <v>31747</v>
      </c>
      <c r="R10" s="13">
        <v>109</v>
      </c>
      <c r="S10" s="3">
        <v>0</v>
      </c>
    </row>
    <row r="11" spans="1:19">
      <c r="Q11" s="10">
        <v>31837</v>
      </c>
      <c r="R11" s="13">
        <v>101.9</v>
      </c>
      <c r="S11" s="3">
        <v>0</v>
      </c>
    </row>
    <row r="12" spans="1:19">
      <c r="Q12" s="10">
        <v>31929</v>
      </c>
      <c r="R12" s="13">
        <v>104.8</v>
      </c>
      <c r="S12" s="3">
        <v>0</v>
      </c>
    </row>
    <row r="13" spans="1:19">
      <c r="Q13" s="10">
        <v>32021</v>
      </c>
      <c r="R13" s="13">
        <v>122.2</v>
      </c>
      <c r="S13" s="3">
        <v>0</v>
      </c>
    </row>
    <row r="14" spans="1:19">
      <c r="Q14" s="10">
        <v>32112</v>
      </c>
      <c r="R14" s="13">
        <v>115.3</v>
      </c>
      <c r="S14" s="3">
        <v>0</v>
      </c>
    </row>
    <row r="15" spans="1:19">
      <c r="Q15" s="10">
        <v>32203</v>
      </c>
      <c r="R15" s="13">
        <v>94.4</v>
      </c>
      <c r="S15" s="3">
        <v>0</v>
      </c>
    </row>
    <row r="16" spans="1:19">
      <c r="Q16" s="10">
        <v>32295</v>
      </c>
      <c r="R16" s="13">
        <v>98.2</v>
      </c>
      <c r="S16" s="3">
        <v>0</v>
      </c>
    </row>
    <row r="17" spans="17:19">
      <c r="Q17" s="10">
        <v>32387</v>
      </c>
      <c r="R17" s="13">
        <v>72.5</v>
      </c>
      <c r="S17" s="3">
        <v>0</v>
      </c>
    </row>
    <row r="18" spans="17:19">
      <c r="Q18" s="10">
        <v>32478</v>
      </c>
      <c r="R18" s="13">
        <v>70</v>
      </c>
      <c r="S18" s="3">
        <v>0</v>
      </c>
    </row>
    <row r="19" spans="17:19">
      <c r="Q19" s="10">
        <v>32568</v>
      </c>
      <c r="R19" s="13">
        <v>85.8</v>
      </c>
      <c r="S19" s="3">
        <v>0</v>
      </c>
    </row>
    <row r="20" spans="17:19">
      <c r="Q20" s="10">
        <v>32660</v>
      </c>
      <c r="R20" s="13">
        <v>97.4</v>
      </c>
      <c r="S20" s="3">
        <v>0</v>
      </c>
    </row>
    <row r="21" spans="17:19">
      <c r="Q21" s="10">
        <v>32752</v>
      </c>
      <c r="R21" s="13">
        <v>93.2</v>
      </c>
      <c r="S21" s="3">
        <v>0</v>
      </c>
    </row>
    <row r="22" spans="17:19">
      <c r="Q22" s="10">
        <v>32843</v>
      </c>
      <c r="R22" s="13">
        <v>80.5</v>
      </c>
      <c r="S22" s="3">
        <v>0</v>
      </c>
    </row>
    <row r="23" spans="17:19">
      <c r="Q23" s="10">
        <v>32933</v>
      </c>
      <c r="R23" s="13">
        <v>75.099999999999994</v>
      </c>
      <c r="S23" s="3">
        <v>0</v>
      </c>
    </row>
    <row r="24" spans="17:19">
      <c r="Q24" s="10">
        <v>33025</v>
      </c>
      <c r="R24" s="13">
        <v>89.5</v>
      </c>
      <c r="S24" s="3">
        <v>0</v>
      </c>
    </row>
    <row r="25" spans="17:19">
      <c r="Q25" s="10">
        <v>33117</v>
      </c>
      <c r="R25" s="13">
        <v>232.8</v>
      </c>
      <c r="S25" s="3">
        <v>10000</v>
      </c>
    </row>
    <row r="26" spans="17:19">
      <c r="Q26" s="10">
        <v>33208</v>
      </c>
      <c r="R26" s="13">
        <v>189.6</v>
      </c>
      <c r="S26" s="3">
        <v>10000</v>
      </c>
    </row>
    <row r="27" spans="17:19">
      <c r="Q27" s="10">
        <v>33298</v>
      </c>
      <c r="R27" s="13">
        <v>249.3</v>
      </c>
      <c r="S27" s="3">
        <v>10000</v>
      </c>
    </row>
    <row r="28" spans="17:19">
      <c r="Q28" s="10">
        <v>33390</v>
      </c>
      <c r="R28" s="13">
        <v>98.7</v>
      </c>
      <c r="S28" s="3">
        <v>0</v>
      </c>
    </row>
    <row r="29" spans="17:19">
      <c r="Q29" s="10">
        <v>33482</v>
      </c>
      <c r="R29" s="13">
        <v>144.1</v>
      </c>
      <c r="S29" s="3">
        <v>0</v>
      </c>
    </row>
    <row r="30" spans="17:19">
      <c r="Q30" s="10">
        <v>33573</v>
      </c>
      <c r="R30" s="13">
        <v>126.1</v>
      </c>
      <c r="S30" s="3">
        <v>0</v>
      </c>
    </row>
    <row r="31" spans="17:19">
      <c r="Q31" s="10">
        <v>33664</v>
      </c>
      <c r="R31" s="13">
        <v>111.5</v>
      </c>
      <c r="S31" s="3">
        <v>0</v>
      </c>
    </row>
    <row r="32" spans="17:19">
      <c r="Q32" s="10">
        <v>33756</v>
      </c>
      <c r="R32" s="13">
        <v>103.4</v>
      </c>
      <c r="S32" s="3">
        <v>0</v>
      </c>
    </row>
    <row r="33" spans="1:19" ht="18" customHeight="1">
      <c r="Q33" s="10">
        <v>33848</v>
      </c>
      <c r="R33" s="13">
        <v>90.9</v>
      </c>
      <c r="S33" s="3">
        <v>0</v>
      </c>
    </row>
    <row r="34" spans="1:19">
      <c r="A34" s="3" t="s">
        <v>35</v>
      </c>
      <c r="Q34" s="10">
        <v>33939</v>
      </c>
      <c r="R34" s="13">
        <v>92.8</v>
      </c>
      <c r="S34" s="3">
        <v>0</v>
      </c>
    </row>
    <row r="35" spans="1:19">
      <c r="A35" s="19" t="s">
        <v>77</v>
      </c>
      <c r="B35" s="20"/>
      <c r="C35" s="20"/>
      <c r="D35" s="20"/>
      <c r="E35" s="20"/>
      <c r="F35" s="20"/>
      <c r="G35" s="20"/>
      <c r="H35" s="20"/>
      <c r="I35" s="20"/>
      <c r="J35" s="20"/>
      <c r="K35" s="20"/>
      <c r="L35" s="20"/>
      <c r="M35" s="20"/>
      <c r="N35" s="20"/>
      <c r="O35" s="20"/>
      <c r="Q35" s="10">
        <v>34029</v>
      </c>
      <c r="R35" s="13">
        <v>116.7</v>
      </c>
      <c r="S35" s="3">
        <v>0</v>
      </c>
    </row>
    <row r="36" spans="1:19">
      <c r="A36" s="20"/>
      <c r="B36" s="20"/>
      <c r="C36" s="20"/>
      <c r="D36" s="20"/>
      <c r="E36" s="20"/>
      <c r="F36" s="20"/>
      <c r="G36" s="20"/>
      <c r="H36" s="20"/>
      <c r="I36" s="20"/>
      <c r="J36" s="20"/>
      <c r="K36" s="20"/>
      <c r="L36" s="20"/>
      <c r="M36" s="20"/>
      <c r="N36" s="20"/>
      <c r="O36" s="20"/>
      <c r="Q36" s="10">
        <v>34121</v>
      </c>
      <c r="R36" s="13">
        <v>135.6</v>
      </c>
      <c r="S36" s="3">
        <v>0</v>
      </c>
    </row>
    <row r="37" spans="1:19">
      <c r="A37" s="20"/>
      <c r="B37" s="20"/>
      <c r="C37" s="20"/>
      <c r="D37" s="20"/>
      <c r="E37" s="20"/>
      <c r="F37" s="20"/>
      <c r="G37" s="20"/>
      <c r="H37" s="20"/>
      <c r="I37" s="20"/>
      <c r="J37" s="20"/>
      <c r="K37" s="20"/>
      <c r="L37" s="20"/>
      <c r="M37" s="20"/>
      <c r="N37" s="20"/>
      <c r="O37" s="20"/>
      <c r="Q37" s="10">
        <v>34213</v>
      </c>
      <c r="R37" s="13">
        <v>108.8</v>
      </c>
      <c r="S37" s="3">
        <v>0</v>
      </c>
    </row>
    <row r="38" spans="1:19">
      <c r="A38" s="20"/>
      <c r="B38" s="20"/>
      <c r="C38" s="20"/>
      <c r="D38" s="20"/>
      <c r="E38" s="20"/>
      <c r="F38" s="20"/>
      <c r="G38" s="20"/>
      <c r="H38" s="20"/>
      <c r="I38" s="20"/>
      <c r="J38" s="20"/>
      <c r="K38" s="20"/>
      <c r="L38" s="20"/>
      <c r="M38" s="20"/>
      <c r="N38" s="20"/>
      <c r="O38" s="20"/>
      <c r="Q38" s="10">
        <v>34304</v>
      </c>
      <c r="R38" s="13">
        <v>110.8</v>
      </c>
      <c r="S38" s="3">
        <v>0</v>
      </c>
    </row>
    <row r="39" spans="1:19">
      <c r="A39" s="20"/>
      <c r="B39" s="20"/>
      <c r="C39" s="20"/>
      <c r="D39" s="20"/>
      <c r="E39" s="20"/>
      <c r="F39" s="20"/>
      <c r="G39" s="20"/>
      <c r="H39" s="20"/>
      <c r="I39" s="20"/>
      <c r="J39" s="20"/>
      <c r="K39" s="20"/>
      <c r="L39" s="20"/>
      <c r="M39" s="20"/>
      <c r="N39" s="20"/>
      <c r="O39" s="20"/>
      <c r="Q39" s="10">
        <v>34394</v>
      </c>
      <c r="R39" s="13">
        <v>113.3</v>
      </c>
      <c r="S39" s="3">
        <v>0</v>
      </c>
    </row>
    <row r="40" spans="1:19">
      <c r="A40" s="20"/>
      <c r="B40" s="20"/>
      <c r="C40" s="20"/>
      <c r="D40" s="20"/>
      <c r="E40" s="20"/>
      <c r="F40" s="20"/>
      <c r="G40" s="20"/>
      <c r="H40" s="20"/>
      <c r="I40" s="20"/>
      <c r="J40" s="20"/>
      <c r="K40" s="20"/>
      <c r="L40" s="20"/>
      <c r="M40" s="20"/>
      <c r="N40" s="20"/>
      <c r="O40" s="20"/>
      <c r="Q40" s="10">
        <v>34486</v>
      </c>
      <c r="R40" s="13">
        <v>129.19999999999999</v>
      </c>
      <c r="S40" s="3">
        <v>0</v>
      </c>
    </row>
    <row r="41" spans="1:19">
      <c r="A41" s="20"/>
      <c r="B41" s="20"/>
      <c r="C41" s="20"/>
      <c r="D41" s="20"/>
      <c r="E41" s="20"/>
      <c r="F41" s="20"/>
      <c r="G41" s="20"/>
      <c r="H41" s="20"/>
      <c r="I41" s="20"/>
      <c r="J41" s="20"/>
      <c r="K41" s="20"/>
      <c r="L41" s="20"/>
      <c r="M41" s="20"/>
      <c r="N41" s="20"/>
      <c r="O41" s="20"/>
      <c r="Q41" s="10">
        <v>34578</v>
      </c>
      <c r="R41" s="13">
        <v>123.2</v>
      </c>
      <c r="S41" s="3">
        <v>0</v>
      </c>
    </row>
    <row r="42" spans="1:19" ht="15" customHeight="1">
      <c r="A42" s="20"/>
      <c r="B42" s="20"/>
      <c r="C42" s="20"/>
      <c r="D42" s="20"/>
      <c r="E42" s="20"/>
      <c r="F42" s="20"/>
      <c r="G42" s="20"/>
      <c r="H42" s="20"/>
      <c r="I42" s="20"/>
      <c r="J42" s="20"/>
      <c r="K42" s="20"/>
      <c r="L42" s="20"/>
      <c r="M42" s="20"/>
      <c r="N42" s="20"/>
      <c r="O42" s="20"/>
      <c r="Q42" s="10">
        <v>34669</v>
      </c>
      <c r="R42" s="13">
        <v>109.1</v>
      </c>
      <c r="S42" s="3">
        <v>0</v>
      </c>
    </row>
    <row r="43" spans="1:19" ht="15" customHeight="1">
      <c r="A43" s="20"/>
      <c r="B43" s="20"/>
      <c r="C43" s="20"/>
      <c r="D43" s="20"/>
      <c r="E43" s="20"/>
      <c r="F43" s="20"/>
      <c r="G43" s="20"/>
      <c r="H43" s="20"/>
      <c r="I43" s="20"/>
      <c r="J43" s="20"/>
      <c r="K43" s="20"/>
      <c r="L43" s="20"/>
      <c r="M43" s="20"/>
      <c r="N43" s="20"/>
      <c r="O43" s="20"/>
      <c r="Q43" s="10">
        <v>34759</v>
      </c>
      <c r="R43" s="13">
        <v>78.900000000000006</v>
      </c>
      <c r="S43" s="3">
        <v>0</v>
      </c>
    </row>
    <row r="44" spans="1:19" ht="15" customHeight="1">
      <c r="A44" s="20"/>
      <c r="B44" s="20"/>
      <c r="C44" s="20"/>
      <c r="D44" s="20"/>
      <c r="E44" s="20"/>
      <c r="F44" s="20"/>
      <c r="G44" s="20"/>
      <c r="H44" s="20"/>
      <c r="I44" s="20"/>
      <c r="J44" s="20"/>
      <c r="K44" s="20"/>
      <c r="L44" s="20"/>
      <c r="M44" s="20"/>
      <c r="N44" s="20"/>
      <c r="O44" s="20"/>
      <c r="Q44" s="10">
        <v>34851</v>
      </c>
      <c r="R44" s="13">
        <v>104</v>
      </c>
      <c r="S44" s="3">
        <v>0</v>
      </c>
    </row>
    <row r="45" spans="1:19" ht="15" customHeight="1">
      <c r="A45" s="20"/>
      <c r="B45" s="20"/>
      <c r="C45" s="20"/>
      <c r="D45" s="20"/>
      <c r="E45" s="20"/>
      <c r="F45" s="20"/>
      <c r="G45" s="20"/>
      <c r="H45" s="20"/>
      <c r="I45" s="20"/>
      <c r="J45" s="20"/>
      <c r="K45" s="20"/>
      <c r="L45" s="20"/>
      <c r="M45" s="20"/>
      <c r="N45" s="20"/>
      <c r="O45" s="20"/>
      <c r="Q45" s="10">
        <v>34943</v>
      </c>
      <c r="R45" s="13">
        <v>102.3</v>
      </c>
      <c r="S45" s="3">
        <v>0</v>
      </c>
    </row>
    <row r="46" spans="1:19" ht="15" customHeight="1">
      <c r="A46" s="20"/>
      <c r="B46" s="20"/>
      <c r="C46" s="20"/>
      <c r="D46" s="20"/>
      <c r="E46" s="20"/>
      <c r="F46" s="20"/>
      <c r="G46" s="20"/>
      <c r="H46" s="20"/>
      <c r="I46" s="20"/>
      <c r="J46" s="20"/>
      <c r="K46" s="20"/>
      <c r="L46" s="20"/>
      <c r="M46" s="20"/>
      <c r="N46" s="20"/>
      <c r="O46" s="20"/>
      <c r="Q46" s="10">
        <v>35034</v>
      </c>
      <c r="R46" s="13">
        <v>70.7</v>
      </c>
      <c r="S46" s="3">
        <v>0</v>
      </c>
    </row>
    <row r="47" spans="1:19">
      <c r="A47" s="20"/>
      <c r="B47" s="20"/>
      <c r="C47" s="20"/>
      <c r="D47" s="20"/>
      <c r="E47" s="20"/>
      <c r="F47" s="20"/>
      <c r="G47" s="20"/>
      <c r="H47" s="20"/>
      <c r="I47" s="20"/>
      <c r="J47" s="20"/>
      <c r="K47" s="20"/>
      <c r="L47" s="20"/>
      <c r="M47" s="20"/>
      <c r="N47" s="20"/>
      <c r="O47" s="20"/>
      <c r="Q47" s="10">
        <v>35125</v>
      </c>
      <c r="R47" s="13">
        <v>79.2</v>
      </c>
      <c r="S47" s="3">
        <v>0</v>
      </c>
    </row>
    <row r="48" spans="1:19">
      <c r="A48" s="11"/>
      <c r="B48" s="11"/>
      <c r="C48" s="11"/>
      <c r="D48" s="11"/>
      <c r="E48" s="11"/>
      <c r="F48" s="11"/>
      <c r="G48" s="11"/>
      <c r="H48" s="11"/>
      <c r="I48" s="11"/>
      <c r="J48" s="11"/>
      <c r="K48" s="11"/>
      <c r="L48" s="11"/>
      <c r="M48" s="11"/>
      <c r="N48" s="11"/>
      <c r="O48" s="11"/>
      <c r="Q48" s="10">
        <v>35217</v>
      </c>
      <c r="R48" s="13">
        <v>67.7</v>
      </c>
      <c r="S48" s="3">
        <v>0</v>
      </c>
    </row>
    <row r="49" spans="1:19">
      <c r="A49" s="9" t="s">
        <v>60</v>
      </c>
      <c r="B49" s="11"/>
      <c r="C49" s="11"/>
      <c r="D49" s="11"/>
      <c r="E49" s="11"/>
      <c r="F49" s="11"/>
      <c r="G49" s="11"/>
      <c r="H49" s="11"/>
      <c r="I49" s="11"/>
      <c r="J49" s="11"/>
      <c r="K49" s="11"/>
      <c r="L49" s="11"/>
      <c r="M49" s="11"/>
      <c r="N49" s="11"/>
      <c r="O49" s="11"/>
      <c r="Q49" s="10">
        <v>35309</v>
      </c>
      <c r="R49" s="13">
        <v>81.2</v>
      </c>
      <c r="S49" s="3">
        <v>0</v>
      </c>
    </row>
    <row r="50" spans="1:19">
      <c r="Q50" s="10">
        <v>35400</v>
      </c>
      <c r="R50" s="13">
        <v>65</v>
      </c>
      <c r="S50" s="3">
        <v>0</v>
      </c>
    </row>
    <row r="51" spans="1:19">
      <c r="Q51" s="10">
        <v>35490</v>
      </c>
      <c r="R51" s="13">
        <v>54.7</v>
      </c>
      <c r="S51" s="3">
        <v>0</v>
      </c>
    </row>
    <row r="52" spans="1:19">
      <c r="Q52" s="10">
        <v>35582</v>
      </c>
      <c r="R52" s="13">
        <v>50.9</v>
      </c>
      <c r="S52" s="3">
        <v>0</v>
      </c>
    </row>
    <row r="53" spans="1:19">
      <c r="Q53" s="10">
        <v>35674</v>
      </c>
      <c r="R53" s="13">
        <v>45.1</v>
      </c>
      <c r="S53" s="3">
        <v>0</v>
      </c>
    </row>
    <row r="54" spans="1:19">
      <c r="Q54" s="10">
        <v>35765</v>
      </c>
      <c r="R54" s="13">
        <v>62</v>
      </c>
      <c r="S54" s="3">
        <v>0</v>
      </c>
    </row>
    <row r="55" spans="1:19">
      <c r="Q55" s="10">
        <v>35855</v>
      </c>
      <c r="R55" s="13">
        <v>75.7</v>
      </c>
      <c r="S55" s="3">
        <v>0</v>
      </c>
    </row>
    <row r="56" spans="1:19">
      <c r="Q56" s="10">
        <v>35947</v>
      </c>
      <c r="R56" s="13">
        <v>94.5</v>
      </c>
      <c r="S56" s="3">
        <v>0</v>
      </c>
    </row>
    <row r="57" spans="1:19">
      <c r="Q57" s="10">
        <v>36039</v>
      </c>
      <c r="R57" s="13">
        <v>72.2</v>
      </c>
      <c r="S57" s="3">
        <v>0</v>
      </c>
    </row>
    <row r="58" spans="1:19">
      <c r="Q58" s="10">
        <v>36130</v>
      </c>
      <c r="R58" s="13">
        <v>77.400000000000006</v>
      </c>
      <c r="S58" s="3">
        <v>0</v>
      </c>
    </row>
    <row r="59" spans="1:19">
      <c r="Q59" s="10">
        <v>36220</v>
      </c>
      <c r="R59" s="13">
        <v>75.5</v>
      </c>
      <c r="S59" s="3">
        <v>0</v>
      </c>
    </row>
    <row r="60" spans="1:19">
      <c r="Q60" s="10">
        <v>36312</v>
      </c>
      <c r="R60" s="13">
        <v>92.6</v>
      </c>
      <c r="S60" s="3">
        <v>0</v>
      </c>
    </row>
    <row r="61" spans="1:19">
      <c r="Q61" s="10">
        <v>36404</v>
      </c>
      <c r="R61" s="13">
        <v>69.2</v>
      </c>
      <c r="S61" s="3">
        <v>0</v>
      </c>
    </row>
    <row r="62" spans="1:19">
      <c r="Q62" s="10">
        <v>36495</v>
      </c>
      <c r="R62" s="13">
        <v>78.400000000000006</v>
      </c>
      <c r="S62" s="3">
        <v>0</v>
      </c>
    </row>
    <row r="63" spans="1:19">
      <c r="Q63" s="10">
        <v>36586</v>
      </c>
      <c r="R63" s="13">
        <v>59.4</v>
      </c>
      <c r="S63" s="3">
        <v>0</v>
      </c>
    </row>
    <row r="64" spans="1:19">
      <c r="Q64" s="10">
        <v>36678</v>
      </c>
      <c r="R64" s="13">
        <v>68</v>
      </c>
      <c r="S64" s="3">
        <v>0</v>
      </c>
    </row>
    <row r="65" spans="17:19">
      <c r="Q65" s="10">
        <v>36770</v>
      </c>
      <c r="R65" s="13">
        <v>57</v>
      </c>
      <c r="S65" s="3">
        <v>0</v>
      </c>
    </row>
    <row r="66" spans="17:19">
      <c r="Q66" s="10">
        <v>36861</v>
      </c>
      <c r="R66" s="13">
        <v>57.6</v>
      </c>
      <c r="S66" s="3">
        <v>0</v>
      </c>
    </row>
    <row r="67" spans="17:19">
      <c r="Q67" s="10">
        <v>36951</v>
      </c>
      <c r="R67" s="13">
        <v>61.4</v>
      </c>
      <c r="S67" s="3">
        <v>0</v>
      </c>
    </row>
    <row r="68" spans="17:19">
      <c r="Q68" s="10">
        <v>37043</v>
      </c>
      <c r="R68" s="13">
        <v>64.5</v>
      </c>
      <c r="S68" s="3">
        <v>0</v>
      </c>
    </row>
    <row r="69" spans="17:19">
      <c r="Q69" s="10">
        <v>37135</v>
      </c>
      <c r="R69" s="13">
        <v>127</v>
      </c>
      <c r="S69" s="3">
        <v>10000</v>
      </c>
    </row>
    <row r="70" spans="17:19">
      <c r="Q70" s="10">
        <v>37226</v>
      </c>
      <c r="R70" s="13">
        <v>179.1</v>
      </c>
      <c r="S70" s="3">
        <v>10000</v>
      </c>
    </row>
    <row r="71" spans="17:19">
      <c r="Q71" s="10">
        <v>37316</v>
      </c>
      <c r="R71" s="13">
        <v>100.6</v>
      </c>
      <c r="S71" s="3">
        <v>0</v>
      </c>
    </row>
    <row r="72" spans="17:19">
      <c r="Q72" s="10">
        <v>37408</v>
      </c>
      <c r="R72" s="13">
        <v>123.6</v>
      </c>
      <c r="S72" s="3">
        <v>0</v>
      </c>
    </row>
    <row r="73" spans="17:19">
      <c r="Q73" s="10">
        <v>37500</v>
      </c>
      <c r="R73" s="13">
        <v>123.5</v>
      </c>
      <c r="S73" s="3">
        <v>0</v>
      </c>
    </row>
    <row r="74" spans="17:19">
      <c r="Q74" s="10">
        <v>37591</v>
      </c>
      <c r="R74" s="13">
        <v>168.3</v>
      </c>
      <c r="S74" s="3">
        <v>10000</v>
      </c>
    </row>
    <row r="75" spans="17:19">
      <c r="Q75" s="10">
        <v>37681</v>
      </c>
      <c r="R75" s="13">
        <v>301.7</v>
      </c>
      <c r="S75" s="3">
        <v>10000</v>
      </c>
    </row>
    <row r="76" spans="17:19">
      <c r="Q76" s="10">
        <v>37773</v>
      </c>
      <c r="R76" s="13">
        <v>164.6</v>
      </c>
      <c r="S76" s="3">
        <v>0</v>
      </c>
    </row>
    <row r="77" spans="17:19">
      <c r="Q77" s="10">
        <v>37865</v>
      </c>
      <c r="R77" s="13">
        <v>105.9</v>
      </c>
      <c r="S77" s="3">
        <v>0</v>
      </c>
    </row>
    <row r="78" spans="17:19">
      <c r="Q78" s="10">
        <v>37956</v>
      </c>
      <c r="R78" s="13">
        <v>97.9</v>
      </c>
      <c r="S78" s="3">
        <v>0</v>
      </c>
    </row>
    <row r="79" spans="17:19">
      <c r="Q79" s="10">
        <v>38047</v>
      </c>
      <c r="R79" s="13">
        <v>106.7</v>
      </c>
      <c r="S79" s="3">
        <v>0</v>
      </c>
    </row>
    <row r="80" spans="17:19">
      <c r="Q80" s="10">
        <v>38139</v>
      </c>
      <c r="R80" s="13">
        <v>106.6</v>
      </c>
      <c r="S80" s="3">
        <v>0</v>
      </c>
    </row>
    <row r="81" spans="17:19">
      <c r="Q81" s="10">
        <v>38231</v>
      </c>
      <c r="R81" s="13">
        <v>126.3</v>
      </c>
      <c r="S81" s="3">
        <v>0</v>
      </c>
    </row>
    <row r="82" spans="17:19">
      <c r="Q82" s="10">
        <v>38322</v>
      </c>
      <c r="R82" s="13">
        <v>93.7</v>
      </c>
      <c r="S82" s="3">
        <v>0</v>
      </c>
    </row>
    <row r="83" spans="17:19">
      <c r="Q83" s="10">
        <v>38412</v>
      </c>
      <c r="R83" s="13">
        <v>90.1</v>
      </c>
      <c r="S83" s="3">
        <v>0</v>
      </c>
    </row>
    <row r="84" spans="17:19">
      <c r="Q84" s="10">
        <v>38504</v>
      </c>
      <c r="R84" s="13">
        <v>77.400000000000006</v>
      </c>
      <c r="S84" s="3">
        <v>0</v>
      </c>
    </row>
    <row r="85" spans="17:19">
      <c r="Q85" s="10">
        <v>38596</v>
      </c>
      <c r="R85" s="13">
        <v>96.4</v>
      </c>
      <c r="S85" s="3">
        <v>0</v>
      </c>
    </row>
    <row r="86" spans="17:19">
      <c r="Q86" s="10">
        <v>38687</v>
      </c>
      <c r="R86" s="13">
        <v>71.099999999999994</v>
      </c>
      <c r="S86" s="3">
        <v>0</v>
      </c>
    </row>
    <row r="87" spans="17:19">
      <c r="Q87" s="10">
        <v>38777</v>
      </c>
      <c r="R87" s="13">
        <v>88.9</v>
      </c>
      <c r="S87" s="3">
        <v>0</v>
      </c>
    </row>
    <row r="88" spans="17:19">
      <c r="Q88" s="10">
        <v>38869</v>
      </c>
      <c r="R88" s="13">
        <v>86.8</v>
      </c>
      <c r="S88" s="3">
        <v>0</v>
      </c>
    </row>
    <row r="89" spans="17:19">
      <c r="Q89" s="10">
        <v>38961</v>
      </c>
      <c r="R89" s="13">
        <v>128.69999999999999</v>
      </c>
      <c r="S89" s="3">
        <v>0</v>
      </c>
    </row>
    <row r="90" spans="17:19">
      <c r="Q90" s="10">
        <v>39052</v>
      </c>
      <c r="R90" s="13">
        <v>102.8</v>
      </c>
      <c r="S90" s="3">
        <v>0</v>
      </c>
    </row>
    <row r="91" spans="17:19">
      <c r="Q91" s="10">
        <v>39142</v>
      </c>
      <c r="R91" s="13">
        <v>93.3</v>
      </c>
      <c r="S91" s="3">
        <v>0</v>
      </c>
    </row>
    <row r="92" spans="17:19">
      <c r="Q92" s="10">
        <v>39234</v>
      </c>
      <c r="R92" s="13">
        <v>79.5</v>
      </c>
      <c r="S92" s="3">
        <v>0</v>
      </c>
    </row>
    <row r="93" spans="17:19">
      <c r="Q93" s="10">
        <v>39326</v>
      </c>
      <c r="R93" s="13">
        <v>90.4</v>
      </c>
      <c r="S93" s="3">
        <v>0</v>
      </c>
    </row>
    <row r="94" spans="17:19">
      <c r="Q94" s="10">
        <v>39417</v>
      </c>
      <c r="R94" s="13">
        <v>99.3</v>
      </c>
      <c r="S94" s="3">
        <v>0</v>
      </c>
    </row>
    <row r="95" spans="17:19">
      <c r="Q95" s="10">
        <v>39508</v>
      </c>
      <c r="R95" s="13">
        <v>73.7</v>
      </c>
      <c r="S95" s="3">
        <v>0</v>
      </c>
    </row>
    <row r="96" spans="17:19">
      <c r="Q96" s="10">
        <v>39600</v>
      </c>
      <c r="R96" s="13">
        <v>76.3</v>
      </c>
      <c r="S96" s="3">
        <v>0</v>
      </c>
    </row>
    <row r="97" spans="17:19">
      <c r="Q97" s="10">
        <v>39692</v>
      </c>
      <c r="R97" s="13">
        <v>80.7</v>
      </c>
      <c r="S97" s="3">
        <v>0</v>
      </c>
    </row>
    <row r="98" spans="17:19">
      <c r="Q98" s="10">
        <v>39783</v>
      </c>
      <c r="R98" s="13">
        <v>68.400000000000006</v>
      </c>
      <c r="S98" s="3">
        <v>0</v>
      </c>
    </row>
    <row r="99" spans="17:19">
      <c r="Q99" s="10">
        <v>39873</v>
      </c>
      <c r="R99" s="13">
        <v>73.400000000000006</v>
      </c>
      <c r="S99" s="3">
        <v>0</v>
      </c>
    </row>
    <row r="100" spans="17:19">
      <c r="Q100" s="10">
        <v>39965</v>
      </c>
      <c r="R100" s="13">
        <v>84</v>
      </c>
      <c r="S100" s="3">
        <v>0</v>
      </c>
    </row>
    <row r="101" spans="17:19">
      <c r="Q101" s="10">
        <v>40057</v>
      </c>
      <c r="R101" s="13">
        <v>81.400000000000006</v>
      </c>
      <c r="S101" s="3">
        <v>0</v>
      </c>
    </row>
    <row r="102" spans="17:19">
      <c r="Q102" s="10">
        <v>40148</v>
      </c>
      <c r="R102" s="13">
        <v>84</v>
      </c>
      <c r="S102" s="3">
        <v>0</v>
      </c>
    </row>
    <row r="103" spans="17:19">
      <c r="Q103" s="10">
        <v>40238</v>
      </c>
      <c r="R103" s="13">
        <v>79.099999999999994</v>
      </c>
      <c r="S103" s="3">
        <v>0</v>
      </c>
    </row>
    <row r="104" spans="17:19">
      <c r="Q104" s="10">
        <v>40330</v>
      </c>
      <c r="R104" s="13">
        <v>96.7</v>
      </c>
      <c r="S104" s="3">
        <v>0</v>
      </c>
    </row>
    <row r="105" spans="17:19">
      <c r="Q105" s="10">
        <v>40422</v>
      </c>
      <c r="R105" s="13">
        <v>72</v>
      </c>
      <c r="S105" s="3">
        <v>0</v>
      </c>
    </row>
    <row r="106" spans="17:19">
      <c r="Q106" s="10">
        <v>40513</v>
      </c>
      <c r="R106" s="13">
        <v>87.1</v>
      </c>
      <c r="S106" s="3">
        <v>0</v>
      </c>
    </row>
    <row r="107" spans="17:19">
      <c r="Q107" s="10">
        <v>40603</v>
      </c>
      <c r="R107" s="13">
        <v>97.9</v>
      </c>
      <c r="S107" s="3">
        <v>10000</v>
      </c>
    </row>
    <row r="108" spans="17:19">
      <c r="Q108" s="10">
        <v>40695</v>
      </c>
      <c r="R108" s="13">
        <v>79.900000000000006</v>
      </c>
      <c r="S108" s="3">
        <v>10000</v>
      </c>
    </row>
    <row r="109" spans="17:19">
      <c r="Q109" s="10">
        <v>40787</v>
      </c>
      <c r="R109" s="13">
        <v>64.400000000000006</v>
      </c>
      <c r="S109" s="3">
        <v>0</v>
      </c>
    </row>
    <row r="110" spans="17:19">
      <c r="Q110" s="10">
        <v>40878</v>
      </c>
      <c r="R110" s="13">
        <v>82.9</v>
      </c>
      <c r="S110" s="3">
        <v>0</v>
      </c>
    </row>
    <row r="111" spans="17:19">
      <c r="Q111" s="10">
        <v>40969</v>
      </c>
      <c r="R111" s="13">
        <v>95.2</v>
      </c>
      <c r="S111" s="3">
        <v>0</v>
      </c>
    </row>
    <row r="112" spans="17:19">
      <c r="Q112" s="10">
        <v>41061</v>
      </c>
      <c r="R112" s="13">
        <v>84.3</v>
      </c>
      <c r="S112" s="3">
        <v>0</v>
      </c>
    </row>
    <row r="113" spans="17:19">
      <c r="Q113" s="10">
        <v>41153</v>
      </c>
      <c r="R113" s="13">
        <v>72.900000000000006</v>
      </c>
      <c r="S113" s="3">
        <v>0</v>
      </c>
    </row>
    <row r="114" spans="17:19">
      <c r="Q114" s="10">
        <v>41244</v>
      </c>
      <c r="R114" s="13">
        <v>72</v>
      </c>
      <c r="S114" s="3">
        <v>0</v>
      </c>
    </row>
    <row r="115" spans="17:19">
      <c r="Q115" s="10">
        <v>41334</v>
      </c>
      <c r="R115" s="13">
        <v>81.2</v>
      </c>
      <c r="S115" s="3">
        <v>0</v>
      </c>
    </row>
    <row r="116" spans="17:19">
      <c r="Q116" s="10">
        <v>41426</v>
      </c>
      <c r="R116" s="13">
        <v>84.6</v>
      </c>
      <c r="S116" s="3">
        <v>0</v>
      </c>
    </row>
    <row r="117" spans="17:19">
      <c r="Q117" s="10">
        <v>41518</v>
      </c>
      <c r="R117" s="13">
        <v>84.2</v>
      </c>
      <c r="S117" s="3">
        <v>0</v>
      </c>
    </row>
    <row r="118" spans="17:19">
      <c r="Q118" s="10">
        <v>41609</v>
      </c>
      <c r="R118" s="13">
        <v>76</v>
      </c>
      <c r="S118" s="3">
        <v>0</v>
      </c>
    </row>
    <row r="119" spans="17:19">
      <c r="Q119" s="10">
        <v>41699</v>
      </c>
      <c r="R119" s="13">
        <v>98.5</v>
      </c>
      <c r="S119" s="3">
        <v>0</v>
      </c>
    </row>
    <row r="120" spans="17:19">
      <c r="Q120" s="10">
        <v>41791</v>
      </c>
      <c r="R120" s="13">
        <v>100.1</v>
      </c>
      <c r="S120" s="3">
        <v>0</v>
      </c>
    </row>
    <row r="121" spans="17:19">
      <c r="Q121" s="10">
        <v>41883</v>
      </c>
      <c r="R121" s="13">
        <v>154.9</v>
      </c>
      <c r="S121" s="3">
        <v>10000</v>
      </c>
    </row>
    <row r="122" spans="17:19">
      <c r="Q122" s="10">
        <v>41974</v>
      </c>
      <c r="R122" s="13">
        <v>85.4</v>
      </c>
      <c r="S122" s="3">
        <v>10000</v>
      </c>
    </row>
    <row r="123" spans="17:19">
      <c r="Q123" s="10">
        <v>42064</v>
      </c>
      <c r="R123" s="13">
        <v>106.4</v>
      </c>
      <c r="S123" s="3">
        <v>10000</v>
      </c>
    </row>
    <row r="124" spans="17:19">
      <c r="Q124" s="10">
        <v>42156</v>
      </c>
      <c r="R124" s="13">
        <v>89.6</v>
      </c>
      <c r="S124" s="3">
        <v>0</v>
      </c>
    </row>
    <row r="125" spans="17:19">
      <c r="Q125" s="10">
        <v>42248</v>
      </c>
      <c r="R125" s="13">
        <v>107.4</v>
      </c>
      <c r="S125" s="3">
        <v>0</v>
      </c>
    </row>
    <row r="126" spans="17:19">
      <c r="Q126" s="10">
        <v>42339</v>
      </c>
      <c r="R126" s="13">
        <v>102.7</v>
      </c>
      <c r="S126" s="3">
        <v>0</v>
      </c>
    </row>
    <row r="127" spans="17:19">
      <c r="Q127" s="10">
        <v>42430</v>
      </c>
      <c r="R127" s="13">
        <v>104.5</v>
      </c>
      <c r="S127" s="3">
        <v>0</v>
      </c>
    </row>
    <row r="128" spans="17:19">
      <c r="Q128" s="10">
        <v>42522</v>
      </c>
      <c r="R128" s="13">
        <v>81.900000000000006</v>
      </c>
      <c r="S128" s="3">
        <v>0</v>
      </c>
    </row>
    <row r="129" spans="17:19">
      <c r="Q129" s="10">
        <v>42614</v>
      </c>
      <c r="R129" s="13">
        <v>91.7</v>
      </c>
      <c r="S129" s="3">
        <v>0</v>
      </c>
    </row>
    <row r="130" spans="17:19">
      <c r="Q130" s="10">
        <v>42705</v>
      </c>
      <c r="R130" s="13">
        <v>84.9</v>
      </c>
      <c r="S130" s="3">
        <v>0</v>
      </c>
    </row>
    <row r="131" spans="17:19">
      <c r="Q131" s="10">
        <v>42795</v>
      </c>
      <c r="R131" s="13">
        <v>109.9</v>
      </c>
      <c r="S131" s="3">
        <v>0</v>
      </c>
    </row>
    <row r="132" spans="17:19">
      <c r="Q132" s="10">
        <v>42887</v>
      </c>
      <c r="R132" s="13">
        <v>114.3</v>
      </c>
      <c r="S132" s="3">
        <v>0</v>
      </c>
    </row>
    <row r="133" spans="17:19">
      <c r="Q133" s="10">
        <v>42979</v>
      </c>
      <c r="R133" s="13">
        <v>142.6</v>
      </c>
      <c r="S133" s="3">
        <v>0</v>
      </c>
    </row>
    <row r="134" spans="17:19">
      <c r="Q134" s="10">
        <v>43070</v>
      </c>
      <c r="R134" s="13">
        <v>103</v>
      </c>
      <c r="S134" s="3">
        <v>0</v>
      </c>
    </row>
    <row r="135" spans="17:19">
      <c r="Q135" s="10">
        <v>43160</v>
      </c>
      <c r="R135" s="13">
        <v>109.8</v>
      </c>
      <c r="S135" s="3">
        <v>0</v>
      </c>
    </row>
    <row r="136" spans="17:19">
      <c r="Q136" s="10">
        <v>43252</v>
      </c>
      <c r="R136" s="13">
        <v>151.9</v>
      </c>
      <c r="S136" s="3">
        <v>0</v>
      </c>
    </row>
    <row r="137" spans="17:19">
      <c r="Q137" s="10">
        <v>43344</v>
      </c>
      <c r="R137" s="13">
        <v>120.9</v>
      </c>
      <c r="S137" s="3">
        <v>0</v>
      </c>
    </row>
    <row r="138" spans="17:19">
      <c r="Q138" s="10">
        <v>43435</v>
      </c>
      <c r="R138" s="13">
        <v>108.8</v>
      </c>
      <c r="S138" s="3">
        <v>0</v>
      </c>
    </row>
    <row r="139" spans="17:19">
      <c r="Q139" s="10">
        <v>43525</v>
      </c>
      <c r="R139" s="13">
        <v>110.5</v>
      </c>
      <c r="S139" s="3">
        <v>0</v>
      </c>
    </row>
    <row r="140" spans="17:19">
      <c r="Q140" s="10">
        <v>43617</v>
      </c>
      <c r="R140" s="13">
        <v>124.4</v>
      </c>
      <c r="S140" s="3">
        <v>0</v>
      </c>
    </row>
    <row r="141" spans="17:19">
      <c r="Q141" s="10">
        <v>43709</v>
      </c>
      <c r="R141" s="13">
        <v>120.8</v>
      </c>
      <c r="S141" s="3">
        <v>10000</v>
      </c>
    </row>
    <row r="142" spans="17:19">
      <c r="Q142" s="10">
        <v>43800</v>
      </c>
      <c r="R142" s="13">
        <v>95.3</v>
      </c>
      <c r="S142" s="3">
        <v>10000</v>
      </c>
    </row>
    <row r="143" spans="17:19">
      <c r="Q143" s="10">
        <v>43891</v>
      </c>
      <c r="R143" s="13">
        <v>125</v>
      </c>
      <c r="S143" s="3">
        <v>0</v>
      </c>
    </row>
    <row r="144" spans="17:19">
      <c r="Q144" s="10">
        <v>43983</v>
      </c>
      <c r="R144" s="13">
        <v>83.7</v>
      </c>
      <c r="S144" s="3">
        <v>0</v>
      </c>
    </row>
    <row r="145" spans="17:19">
      <c r="Q145" s="10">
        <v>44075</v>
      </c>
      <c r="R145" s="13">
        <v>93.3</v>
      </c>
      <c r="S145" s="3">
        <v>0</v>
      </c>
    </row>
    <row r="146" spans="17:19">
      <c r="Q146" s="10">
        <v>44166</v>
      </c>
      <c r="R146" s="13">
        <v>87.8</v>
      </c>
      <c r="S146" s="3">
        <v>0</v>
      </c>
    </row>
    <row r="147" spans="17:19">
      <c r="Q147" s="10">
        <v>44256</v>
      </c>
      <c r="R147" s="13">
        <v>97.9</v>
      </c>
      <c r="S147" s="3">
        <v>0</v>
      </c>
    </row>
    <row r="148" spans="17:19">
      <c r="Q148" s="10">
        <v>44348</v>
      </c>
      <c r="R148" s="13">
        <v>107.6</v>
      </c>
      <c r="S148" s="3">
        <v>0</v>
      </c>
    </row>
    <row r="149" spans="17:19">
      <c r="Q149" s="10">
        <v>44440</v>
      </c>
      <c r="R149" s="13">
        <v>86.4</v>
      </c>
      <c r="S149" s="3">
        <v>0</v>
      </c>
    </row>
    <row r="150" spans="17:19">
      <c r="Q150" s="10">
        <v>44531</v>
      </c>
      <c r="R150" s="13">
        <v>123.5</v>
      </c>
      <c r="S150" s="3">
        <v>0</v>
      </c>
    </row>
    <row r="151" spans="17:19">
      <c r="Q151" s="10">
        <v>44621</v>
      </c>
      <c r="R151" s="13">
        <v>307.89999999999998</v>
      </c>
      <c r="S151" s="3">
        <v>10000</v>
      </c>
    </row>
    <row r="152" spans="17:19">
      <c r="Q152" s="10">
        <v>44713</v>
      </c>
      <c r="R152" s="13">
        <v>183</v>
      </c>
      <c r="S152" s="3">
        <v>10000</v>
      </c>
    </row>
    <row r="153" spans="17:19">
      <c r="Q153" s="10">
        <v>44805</v>
      </c>
      <c r="R153" s="13">
        <v>157</v>
      </c>
      <c r="S153" s="3">
        <v>0</v>
      </c>
    </row>
    <row r="154" spans="17:19">
      <c r="Q154" s="10">
        <v>44896</v>
      </c>
      <c r="R154" s="13">
        <v>149.19999999999999</v>
      </c>
      <c r="S154" s="3">
        <v>0</v>
      </c>
    </row>
    <row r="155" spans="17:19">
      <c r="Q155" s="10">
        <v>44986</v>
      </c>
      <c r="R155" s="13">
        <v>128.4</v>
      </c>
      <c r="S155" s="3">
        <v>0</v>
      </c>
    </row>
    <row r="156" spans="17:19">
      <c r="Q156" s="10">
        <v>45078</v>
      </c>
      <c r="R156" s="13">
        <v>123.3</v>
      </c>
      <c r="S156" s="3">
        <v>0</v>
      </c>
    </row>
    <row r="157" spans="17:19">
      <c r="Q157" s="10">
        <v>45170</v>
      </c>
      <c r="R157" s="13">
        <v>122.4</v>
      </c>
      <c r="S157" s="3">
        <v>10000</v>
      </c>
    </row>
    <row r="158" spans="17:19">
      <c r="Q158" s="10">
        <v>45261</v>
      </c>
      <c r="R158" s="13">
        <v>161.6</v>
      </c>
      <c r="S158" s="3">
        <v>10000</v>
      </c>
    </row>
    <row r="159" spans="17:19">
      <c r="Q159" s="10">
        <v>45352</v>
      </c>
      <c r="R159" s="13">
        <v>134.19999999999999</v>
      </c>
      <c r="S159" s="3">
        <v>0</v>
      </c>
    </row>
    <row r="160" spans="17:19">
      <c r="Q160" s="10">
        <v>45444</v>
      </c>
      <c r="R160" s="13">
        <v>142.6</v>
      </c>
      <c r="S160" s="3">
        <v>0</v>
      </c>
    </row>
    <row r="161" spans="17:19">
      <c r="Q161" s="10">
        <v>45536</v>
      </c>
      <c r="R161" s="13">
        <v>118</v>
      </c>
      <c r="S161" s="3">
        <v>0</v>
      </c>
    </row>
    <row r="162" spans="17:19">
      <c r="Q162" s="10">
        <v>45627</v>
      </c>
      <c r="R162" s="13">
        <v>131.9</v>
      </c>
      <c r="S162" s="3">
        <v>0</v>
      </c>
    </row>
    <row r="163" spans="17:19">
      <c r="Q163" s="10">
        <v>45717</v>
      </c>
      <c r="R163" s="13">
        <v>148.30000000000001</v>
      </c>
      <c r="S163" s="3">
        <v>0</v>
      </c>
    </row>
    <row r="164" spans="17:19">
      <c r="Q164" s="10">
        <v>45809</v>
      </c>
      <c r="R164" s="13">
        <v>215.8</v>
      </c>
      <c r="S164" s="3">
        <v>0</v>
      </c>
    </row>
    <row r="165" spans="17:19">
      <c r="Q165" s="10">
        <v>45901</v>
      </c>
      <c r="R165" s="13">
        <v>151.1</v>
      </c>
      <c r="S165" s="3">
        <v>0</v>
      </c>
    </row>
    <row r="166" spans="17:19">
      <c r="Q166" s="10">
        <v>45992</v>
      </c>
      <c r="R166" s="13">
        <v>143.9</v>
      </c>
      <c r="S166" s="3">
        <v>0</v>
      </c>
    </row>
  </sheetData>
  <mergeCells count="1">
    <mergeCell ref="A35:O47"/>
  </mergeCells>
  <hyperlinks>
    <hyperlink ref="A49" location="'Read Me'!A1" display="Return to Read Me" xr:uid="{1153D0A8-554E-4ED7-A27C-EB06D86C211D}"/>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A467-00F7-41BF-9F6C-D71AA8479EC1}">
  <dimension ref="A1:R43"/>
  <sheetViews>
    <sheetView zoomScale="70" zoomScaleNormal="70" workbookViewId="0">
      <selection activeCell="A34" sqref="A34"/>
    </sheetView>
  </sheetViews>
  <sheetFormatPr defaultRowHeight="14.25"/>
  <sheetData>
    <row r="1" spans="1:18" ht="25.15">
      <c r="A1" s="2" t="s">
        <v>47</v>
      </c>
    </row>
    <row r="2" spans="1:18" ht="17.25">
      <c r="Q2" s="3" t="s">
        <v>3</v>
      </c>
      <c r="R2" s="3" t="s">
        <v>67</v>
      </c>
    </row>
    <row r="3" spans="1:18" ht="17.25">
      <c r="Q3" s="3">
        <v>1985</v>
      </c>
      <c r="R3" s="3">
        <v>17</v>
      </c>
    </row>
    <row r="4" spans="1:18" ht="17.25">
      <c r="Q4" s="3">
        <v>1986</v>
      </c>
      <c r="R4" s="3">
        <v>19</v>
      </c>
    </row>
    <row r="5" spans="1:18" ht="17.25">
      <c r="Q5" s="3">
        <v>1987</v>
      </c>
      <c r="R5" s="3">
        <v>7</v>
      </c>
    </row>
    <row r="6" spans="1:18" ht="17.25">
      <c r="Q6" s="3">
        <v>1988</v>
      </c>
      <c r="R6" s="3">
        <v>14</v>
      </c>
    </row>
    <row r="7" spans="1:18" ht="17.25">
      <c r="Q7" s="3">
        <v>1989</v>
      </c>
      <c r="R7" s="3">
        <v>5</v>
      </c>
    </row>
    <row r="8" spans="1:18" ht="17.25">
      <c r="Q8" s="3">
        <v>1990</v>
      </c>
      <c r="R8" s="3">
        <v>5</v>
      </c>
    </row>
    <row r="9" spans="1:18" ht="17.25">
      <c r="Q9" s="3">
        <v>1991</v>
      </c>
      <c r="R9" s="3">
        <v>4</v>
      </c>
    </row>
    <row r="10" spans="1:18" ht="17.25">
      <c r="Q10" s="3">
        <v>1992</v>
      </c>
      <c r="R10" s="3">
        <v>6</v>
      </c>
    </row>
    <row r="11" spans="1:18" ht="17.25">
      <c r="Q11" s="3">
        <v>1993</v>
      </c>
      <c r="R11" s="3">
        <v>3</v>
      </c>
    </row>
    <row r="12" spans="1:18" ht="17.25">
      <c r="Q12" s="3">
        <v>1994</v>
      </c>
      <c r="R12" s="3">
        <v>2</v>
      </c>
    </row>
    <row r="13" spans="1:18" ht="17.25">
      <c r="Q13" s="3">
        <v>1995</v>
      </c>
      <c r="R13" s="3">
        <v>6</v>
      </c>
    </row>
    <row r="14" spans="1:18" ht="17.25">
      <c r="Q14" s="3">
        <v>1996</v>
      </c>
      <c r="R14" s="3">
        <v>15</v>
      </c>
    </row>
    <row r="15" spans="1:18" ht="17.25">
      <c r="Q15" s="3">
        <v>1997</v>
      </c>
      <c r="R15" s="3">
        <v>10</v>
      </c>
    </row>
    <row r="16" spans="1:18" ht="17.25">
      <c r="Q16" s="3">
        <v>1998</v>
      </c>
      <c r="R16" s="3">
        <v>3</v>
      </c>
    </row>
    <row r="17" spans="17:18" ht="17.25">
      <c r="Q17" s="3">
        <v>1999</v>
      </c>
      <c r="R17" s="3">
        <v>6</v>
      </c>
    </row>
    <row r="18" spans="17:18" ht="17.25">
      <c r="Q18" s="3">
        <v>2000</v>
      </c>
      <c r="R18" s="3">
        <v>13</v>
      </c>
    </row>
    <row r="19" spans="17:18" ht="17.25">
      <c r="Q19" s="3">
        <v>2001</v>
      </c>
      <c r="R19" s="3">
        <v>6</v>
      </c>
    </row>
    <row r="20" spans="17:18" ht="17.25">
      <c r="Q20" s="3">
        <v>2002</v>
      </c>
      <c r="R20" s="3">
        <v>2</v>
      </c>
    </row>
    <row r="21" spans="17:18" ht="17.25">
      <c r="Q21" s="3">
        <v>2003</v>
      </c>
      <c r="R21" s="3">
        <v>2</v>
      </c>
    </row>
    <row r="22" spans="17:18" ht="17.25">
      <c r="Q22" s="3">
        <v>2004</v>
      </c>
      <c r="R22" s="3">
        <v>2</v>
      </c>
    </row>
    <row r="23" spans="17:18" ht="17.25">
      <c r="Q23" s="3">
        <v>2005</v>
      </c>
      <c r="R23" s="3">
        <v>11</v>
      </c>
    </row>
    <row r="24" spans="17:18" ht="17.25">
      <c r="Q24" s="3">
        <v>2006</v>
      </c>
      <c r="R24" s="3">
        <v>10</v>
      </c>
    </row>
    <row r="25" spans="17:18" ht="17.25">
      <c r="Q25" s="3">
        <v>2007</v>
      </c>
      <c r="R25" s="3">
        <v>5</v>
      </c>
    </row>
    <row r="26" spans="17:18" ht="17.25">
      <c r="Q26" s="3">
        <v>2008</v>
      </c>
      <c r="R26" s="3">
        <v>10</v>
      </c>
    </row>
    <row r="27" spans="17:18" ht="17.25">
      <c r="Q27" s="3">
        <v>2009</v>
      </c>
      <c r="R27" s="3">
        <v>14</v>
      </c>
    </row>
    <row r="28" spans="17:18" ht="17.25">
      <c r="Q28" s="3">
        <v>2010</v>
      </c>
      <c r="R28" s="3">
        <v>13</v>
      </c>
    </row>
    <row r="29" spans="17:18" ht="17.25">
      <c r="Q29" s="3">
        <v>2011</v>
      </c>
      <c r="R29" s="3">
        <v>9</v>
      </c>
    </row>
    <row r="30" spans="17:18" ht="17.25">
      <c r="Q30" s="3">
        <v>2012</v>
      </c>
      <c r="R30" s="3">
        <v>15</v>
      </c>
    </row>
    <row r="31" spans="17:18" ht="17.25">
      <c r="Q31" s="3">
        <v>2013</v>
      </c>
      <c r="R31" s="3">
        <v>11</v>
      </c>
    </row>
    <row r="32" spans="17:18" ht="17.25">
      <c r="Q32" s="3">
        <v>2014</v>
      </c>
      <c r="R32" s="3">
        <v>12</v>
      </c>
    </row>
    <row r="33" spans="1:18" ht="18" customHeight="1">
      <c r="Q33" s="3">
        <v>2015</v>
      </c>
      <c r="R33" s="3">
        <v>15</v>
      </c>
    </row>
    <row r="34" spans="1:18" ht="17.649999999999999">
      <c r="A34" s="5" t="s">
        <v>35</v>
      </c>
      <c r="B34" s="4"/>
      <c r="C34" s="4"/>
      <c r="D34" s="4"/>
      <c r="E34" s="4"/>
      <c r="F34" s="4"/>
      <c r="G34" s="4"/>
      <c r="Q34" s="3">
        <v>2016</v>
      </c>
      <c r="R34" s="3">
        <v>17</v>
      </c>
    </row>
    <row r="35" spans="1:18" ht="17.25">
      <c r="A35" s="21" t="s">
        <v>36</v>
      </c>
      <c r="B35" s="21"/>
      <c r="C35" s="21"/>
      <c r="D35" s="21"/>
      <c r="E35" s="21"/>
      <c r="F35" s="21"/>
      <c r="G35" s="21"/>
      <c r="H35" s="21"/>
      <c r="I35" s="21"/>
      <c r="J35" s="21"/>
      <c r="K35" s="21"/>
      <c r="L35" s="21"/>
      <c r="M35" s="21"/>
      <c r="N35" s="21"/>
      <c r="O35" s="21"/>
      <c r="Q35" s="3">
        <v>2017</v>
      </c>
      <c r="R35" s="3">
        <v>13</v>
      </c>
    </row>
    <row r="36" spans="1:18" ht="17.25">
      <c r="A36" s="21"/>
      <c r="B36" s="21"/>
      <c r="C36" s="21"/>
      <c r="D36" s="21"/>
      <c r="E36" s="21"/>
      <c r="F36" s="21"/>
      <c r="G36" s="21"/>
      <c r="H36" s="21"/>
      <c r="I36" s="21"/>
      <c r="J36" s="21"/>
      <c r="K36" s="21"/>
      <c r="L36" s="21"/>
      <c r="M36" s="21"/>
      <c r="N36" s="21"/>
      <c r="O36" s="21"/>
      <c r="Q36" s="3">
        <v>2018</v>
      </c>
      <c r="R36" s="3">
        <v>18</v>
      </c>
    </row>
    <row r="37" spans="1:18" ht="17.649999999999999" customHeight="1">
      <c r="A37" s="21"/>
      <c r="B37" s="21"/>
      <c r="C37" s="21"/>
      <c r="D37" s="21"/>
      <c r="E37" s="21"/>
      <c r="F37" s="21"/>
      <c r="G37" s="21"/>
      <c r="H37" s="21"/>
      <c r="I37" s="21"/>
      <c r="J37" s="21"/>
      <c r="K37" s="21"/>
      <c r="L37" s="21"/>
      <c r="M37" s="21"/>
      <c r="N37" s="21"/>
      <c r="O37" s="21"/>
      <c r="Q37" s="3">
        <v>2019</v>
      </c>
      <c r="R37" s="3">
        <v>21</v>
      </c>
    </row>
    <row r="38" spans="1:18" ht="17.25">
      <c r="A38" s="21"/>
      <c r="B38" s="21"/>
      <c r="C38" s="21"/>
      <c r="D38" s="21"/>
      <c r="E38" s="21"/>
      <c r="F38" s="21"/>
      <c r="G38" s="21"/>
      <c r="H38" s="21"/>
      <c r="I38" s="21"/>
      <c r="J38" s="21"/>
      <c r="K38" s="21"/>
      <c r="L38" s="21"/>
      <c r="M38" s="21"/>
      <c r="N38" s="21"/>
      <c r="O38" s="21"/>
      <c r="Q38" s="3">
        <v>2020</v>
      </c>
      <c r="R38" s="3">
        <v>14</v>
      </c>
    </row>
    <row r="39" spans="1:18" ht="17.25">
      <c r="A39" s="9" t="s">
        <v>60</v>
      </c>
      <c r="Q39" s="3">
        <v>2021</v>
      </c>
      <c r="R39" s="3">
        <v>22</v>
      </c>
    </row>
    <row r="40" spans="1:18" ht="17.25">
      <c r="Q40" s="3">
        <v>2022</v>
      </c>
      <c r="R40" s="3">
        <v>4</v>
      </c>
    </row>
    <row r="41" spans="1:18" ht="17.25">
      <c r="Q41" s="3">
        <v>2023</v>
      </c>
      <c r="R41" s="3">
        <v>17</v>
      </c>
    </row>
    <row r="42" spans="1:18" ht="17.25">
      <c r="Q42" s="3">
        <v>2024</v>
      </c>
      <c r="R42" s="3">
        <v>16</v>
      </c>
    </row>
    <row r="43" spans="1:18" ht="17.25">
      <c r="Q43" s="3">
        <v>2025</v>
      </c>
      <c r="R43" s="3">
        <v>12</v>
      </c>
    </row>
  </sheetData>
  <mergeCells count="1">
    <mergeCell ref="A35:O38"/>
  </mergeCells>
  <hyperlinks>
    <hyperlink ref="A39" location="'Read Me'!A1" display="Return to Read Me" xr:uid="{31D0D62F-C26F-48C5-939D-E3479D961D1B}"/>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1155-7D8C-4CBF-AE63-1D7791A71257}">
  <dimension ref="A1:S38"/>
  <sheetViews>
    <sheetView zoomScale="70" zoomScaleNormal="70" workbookViewId="0"/>
  </sheetViews>
  <sheetFormatPr defaultColWidth="9.1328125" defaultRowHeight="18"/>
  <cols>
    <col min="1" max="16" width="9.1328125" style="12"/>
    <col min="17" max="17" width="18.265625" style="12" customWidth="1"/>
    <col min="18" max="18" width="23" style="12" customWidth="1"/>
    <col min="19" max="19" width="18.73046875" style="12" customWidth="1"/>
    <col min="20" max="16384" width="9.1328125" style="12"/>
  </cols>
  <sheetData>
    <row r="1" spans="1:19" s="14" customFormat="1" ht="25.5">
      <c r="A1" s="2" t="s">
        <v>48</v>
      </c>
    </row>
    <row r="2" spans="1:19">
      <c r="Q2" s="3" t="s">
        <v>11</v>
      </c>
      <c r="R2" s="3" t="s">
        <v>10</v>
      </c>
      <c r="S2" s="3" t="s">
        <v>9</v>
      </c>
    </row>
    <row r="3" spans="1:19">
      <c r="Q3" s="3" t="s">
        <v>8</v>
      </c>
      <c r="R3" s="13">
        <v>11.3</v>
      </c>
      <c r="S3" s="13">
        <v>6.1</v>
      </c>
    </row>
    <row r="4" spans="1:19">
      <c r="Q4" s="3" t="s">
        <v>7</v>
      </c>
      <c r="R4" s="13">
        <v>12.5</v>
      </c>
      <c r="S4" s="13">
        <v>6.6</v>
      </c>
    </row>
    <row r="5" spans="1:19">
      <c r="Q5" s="3" t="s">
        <v>6</v>
      </c>
      <c r="R5" s="13">
        <v>10.7</v>
      </c>
      <c r="S5" s="13">
        <v>7.2</v>
      </c>
    </row>
    <row r="6" spans="1:19">
      <c r="Q6" s="3" t="s">
        <v>5</v>
      </c>
      <c r="R6" s="13">
        <v>8.9</v>
      </c>
      <c r="S6" s="13">
        <v>3.8</v>
      </c>
    </row>
    <row r="7" spans="1:19">
      <c r="Q7" s="3" t="s">
        <v>4</v>
      </c>
      <c r="R7" s="13">
        <v>12.6</v>
      </c>
      <c r="S7" s="13">
        <v>8.5</v>
      </c>
    </row>
    <row r="31" spans="1:15" ht="18" customHeight="1">
      <c r="A31" s="3" t="s">
        <v>37</v>
      </c>
    </row>
    <row r="32" spans="1:15" ht="18" customHeight="1">
      <c r="A32" s="21" t="s">
        <v>38</v>
      </c>
      <c r="B32" s="21"/>
      <c r="C32" s="21"/>
      <c r="D32" s="21"/>
      <c r="E32" s="21"/>
      <c r="F32" s="21"/>
      <c r="G32" s="21"/>
      <c r="H32" s="21"/>
      <c r="I32" s="21"/>
      <c r="J32" s="21"/>
      <c r="K32" s="21"/>
      <c r="L32" s="21"/>
      <c r="M32" s="21"/>
      <c r="N32" s="21"/>
      <c r="O32" s="21"/>
    </row>
    <row r="33" spans="1:15" ht="18" customHeight="1">
      <c r="A33" s="21"/>
      <c r="B33" s="21"/>
      <c r="C33" s="21"/>
      <c r="D33" s="21"/>
      <c r="E33" s="21"/>
      <c r="F33" s="21"/>
      <c r="G33" s="21"/>
      <c r="H33" s="21"/>
      <c r="I33" s="21"/>
      <c r="J33" s="21"/>
      <c r="K33" s="21"/>
      <c r="L33" s="21"/>
      <c r="M33" s="21"/>
      <c r="N33" s="21"/>
      <c r="O33" s="21"/>
    </row>
    <row r="34" spans="1:15" ht="15" customHeight="1">
      <c r="A34" s="21"/>
      <c r="B34" s="21"/>
      <c r="C34" s="21"/>
      <c r="D34" s="21"/>
      <c r="E34" s="21"/>
      <c r="F34" s="21"/>
      <c r="G34" s="21"/>
      <c r="H34" s="21"/>
      <c r="I34" s="21"/>
      <c r="J34" s="21"/>
      <c r="K34" s="21"/>
      <c r="L34" s="21"/>
      <c r="M34" s="21"/>
      <c r="N34" s="21"/>
      <c r="O34" s="21"/>
    </row>
    <row r="35" spans="1:15" ht="15" customHeight="1">
      <c r="A35" s="21"/>
      <c r="B35" s="21"/>
      <c r="C35" s="21"/>
      <c r="D35" s="21"/>
      <c r="E35" s="21"/>
      <c r="F35" s="21"/>
      <c r="G35" s="21"/>
      <c r="H35" s="21"/>
      <c r="I35" s="21"/>
      <c r="J35" s="21"/>
      <c r="K35" s="21"/>
      <c r="L35" s="21"/>
      <c r="M35" s="21"/>
      <c r="N35" s="21"/>
      <c r="O35" s="21"/>
    </row>
    <row r="36" spans="1:15" ht="15" customHeight="1">
      <c r="A36" s="21"/>
      <c r="B36" s="21"/>
      <c r="C36" s="21"/>
      <c r="D36" s="21"/>
      <c r="E36" s="21"/>
      <c r="F36" s="21"/>
      <c r="G36" s="21"/>
      <c r="H36" s="21"/>
      <c r="I36" s="21"/>
      <c r="J36" s="21"/>
      <c r="K36" s="21"/>
      <c r="L36" s="21"/>
      <c r="M36" s="21"/>
      <c r="N36" s="21"/>
      <c r="O36" s="21"/>
    </row>
    <row r="38" spans="1:15">
      <c r="A38" s="9" t="s">
        <v>60</v>
      </c>
    </row>
  </sheetData>
  <mergeCells count="1">
    <mergeCell ref="A32:O36"/>
  </mergeCells>
  <hyperlinks>
    <hyperlink ref="A38" location="'Read Me'!A1" display="Return to Read Me" xr:uid="{83AD621A-F226-4EDD-8BC9-6E975E74CC8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D0BB-7E63-45B7-BA7C-30E5081B8913}">
  <dimension ref="A1:V44"/>
  <sheetViews>
    <sheetView zoomScale="70" zoomScaleNormal="70" workbookViewId="0">
      <selection activeCell="AE29" sqref="AE29"/>
    </sheetView>
  </sheetViews>
  <sheetFormatPr defaultColWidth="9.1328125" defaultRowHeight="18"/>
  <cols>
    <col min="1" max="16" width="9.1328125" style="12"/>
    <col min="17" max="17" width="13" style="12" customWidth="1"/>
    <col min="18" max="18" width="19" style="12" bestFit="1" customWidth="1"/>
    <col min="19" max="19" width="9.1328125" style="12"/>
    <col min="20" max="20" width="10.265625" style="12" bestFit="1" customWidth="1"/>
    <col min="21" max="21" width="9.265625" style="12" bestFit="1" customWidth="1"/>
    <col min="22" max="16384" width="9.1328125" style="12"/>
  </cols>
  <sheetData>
    <row r="1" spans="1:22" s="14" customFormat="1" ht="25.5">
      <c r="A1" s="2" t="s">
        <v>69</v>
      </c>
    </row>
    <row r="2" spans="1:22">
      <c r="Q2" s="3" t="s">
        <v>12</v>
      </c>
      <c r="R2" s="3" t="s">
        <v>68</v>
      </c>
    </row>
    <row r="3" spans="1:22">
      <c r="Q3" s="10">
        <v>33086</v>
      </c>
      <c r="R3" s="13">
        <v>14.5</v>
      </c>
      <c r="V3" s="3"/>
    </row>
    <row r="4" spans="1:22">
      <c r="Q4" s="10">
        <v>33239</v>
      </c>
      <c r="R4" s="13">
        <v>-33</v>
      </c>
      <c r="V4" s="3"/>
    </row>
    <row r="5" spans="1:22">
      <c r="Q5" s="10">
        <v>37135</v>
      </c>
      <c r="R5" s="13">
        <v>6.3</v>
      </c>
      <c r="V5" s="3"/>
    </row>
    <row r="6" spans="1:22">
      <c r="Q6" s="10">
        <v>37591</v>
      </c>
      <c r="R6" s="13">
        <v>5.8</v>
      </c>
      <c r="V6" s="3"/>
    </row>
    <row r="7" spans="1:22">
      <c r="Q7" s="10">
        <v>40575</v>
      </c>
      <c r="R7" s="13">
        <v>8.5</v>
      </c>
      <c r="V7" s="3"/>
    </row>
    <row r="8" spans="1:22">
      <c r="Q8" s="10">
        <v>41944</v>
      </c>
      <c r="R8" s="13">
        <v>-10.199999999999999</v>
      </c>
      <c r="V8" s="3"/>
    </row>
    <row r="9" spans="1:22">
      <c r="Q9" s="10">
        <v>43709</v>
      </c>
      <c r="R9" s="13">
        <v>14.7</v>
      </c>
      <c r="V9" s="3"/>
    </row>
    <row r="10" spans="1:22">
      <c r="Q10" s="10">
        <v>44593</v>
      </c>
      <c r="R10" s="13">
        <v>8</v>
      </c>
      <c r="V10" s="3"/>
    </row>
    <row r="11" spans="1:22">
      <c r="Q11" s="10">
        <v>45200</v>
      </c>
      <c r="R11" s="13">
        <v>4.3</v>
      </c>
      <c r="V11" s="3"/>
    </row>
    <row r="12" spans="1:22">
      <c r="V12" s="3"/>
    </row>
    <row r="33" spans="1:15">
      <c r="A33" s="3" t="s">
        <v>37</v>
      </c>
    </row>
    <row r="34" spans="1:15" ht="19.5" customHeight="1">
      <c r="A34" s="22" t="s">
        <v>78</v>
      </c>
      <c r="B34" s="22"/>
      <c r="C34" s="22"/>
      <c r="D34" s="22"/>
      <c r="E34" s="22"/>
      <c r="F34" s="22"/>
      <c r="G34" s="22"/>
      <c r="H34" s="22"/>
      <c r="I34" s="22"/>
      <c r="J34" s="22"/>
      <c r="K34" s="22"/>
      <c r="L34" s="22"/>
      <c r="M34" s="22"/>
      <c r="N34" s="22"/>
      <c r="O34" s="22"/>
    </row>
    <row r="35" spans="1:15" ht="15" customHeight="1">
      <c r="A35" s="22"/>
      <c r="B35" s="22"/>
      <c r="C35" s="22"/>
      <c r="D35" s="22"/>
      <c r="E35" s="22"/>
      <c r="F35" s="22"/>
      <c r="G35" s="22"/>
      <c r="H35" s="22"/>
      <c r="I35" s="22"/>
      <c r="J35" s="22"/>
      <c r="K35" s="22"/>
      <c r="L35" s="22"/>
      <c r="M35" s="22"/>
      <c r="N35" s="22"/>
      <c r="O35" s="22"/>
    </row>
    <row r="36" spans="1:15" ht="15" customHeight="1">
      <c r="A36" s="22"/>
      <c r="B36" s="22"/>
      <c r="C36" s="22"/>
      <c r="D36" s="22"/>
      <c r="E36" s="22"/>
      <c r="F36" s="22"/>
      <c r="G36" s="22"/>
      <c r="H36" s="22"/>
      <c r="I36" s="22"/>
      <c r="J36" s="22"/>
      <c r="K36" s="22"/>
      <c r="L36" s="22"/>
      <c r="M36" s="22"/>
      <c r="N36" s="22"/>
      <c r="O36" s="22"/>
    </row>
    <row r="37" spans="1:15" ht="15" customHeight="1">
      <c r="A37" s="22"/>
      <c r="B37" s="22"/>
      <c r="C37" s="22"/>
      <c r="D37" s="22"/>
      <c r="E37" s="22"/>
      <c r="F37" s="22"/>
      <c r="G37" s="22"/>
      <c r="H37" s="22"/>
      <c r="I37" s="22"/>
      <c r="J37" s="22"/>
      <c r="K37" s="22"/>
      <c r="L37" s="22"/>
      <c r="M37" s="22"/>
      <c r="N37" s="22"/>
      <c r="O37" s="22"/>
    </row>
    <row r="38" spans="1:15" ht="15" customHeight="1">
      <c r="A38" s="22"/>
      <c r="B38" s="22"/>
      <c r="C38" s="22"/>
      <c r="D38" s="22"/>
      <c r="E38" s="22"/>
      <c r="F38" s="22"/>
      <c r="G38" s="22"/>
      <c r="H38" s="22"/>
      <c r="I38" s="22"/>
      <c r="J38" s="22"/>
      <c r="K38" s="22"/>
      <c r="L38" s="22"/>
      <c r="M38" s="22"/>
      <c r="N38" s="22"/>
      <c r="O38" s="22"/>
    </row>
    <row r="39" spans="1:15" ht="15" customHeight="1">
      <c r="A39" s="22"/>
      <c r="B39" s="22"/>
      <c r="C39" s="22"/>
      <c r="D39" s="22"/>
      <c r="E39" s="22"/>
      <c r="F39" s="22"/>
      <c r="G39" s="22"/>
      <c r="H39" s="22"/>
      <c r="I39" s="22"/>
      <c r="J39" s="22"/>
      <c r="K39" s="22"/>
      <c r="L39" s="22"/>
      <c r="M39" s="22"/>
      <c r="N39" s="22"/>
      <c r="O39" s="22"/>
    </row>
    <row r="40" spans="1:15" ht="15" customHeight="1">
      <c r="A40" s="22"/>
      <c r="B40" s="22"/>
      <c r="C40" s="22"/>
      <c r="D40" s="22"/>
      <c r="E40" s="22"/>
      <c r="F40" s="22"/>
      <c r="G40" s="22"/>
      <c r="H40" s="22"/>
      <c r="I40" s="22"/>
      <c r="J40" s="22"/>
      <c r="K40" s="22"/>
      <c r="L40" s="22"/>
      <c r="M40" s="22"/>
      <c r="N40" s="22"/>
      <c r="O40" s="22"/>
    </row>
    <row r="41" spans="1:15" ht="22.5" customHeight="1">
      <c r="A41" s="22"/>
      <c r="B41" s="22"/>
      <c r="C41" s="22"/>
      <c r="D41" s="22"/>
      <c r="E41" s="22"/>
      <c r="F41" s="22"/>
      <c r="G41" s="22"/>
      <c r="H41" s="22"/>
      <c r="I41" s="22"/>
      <c r="J41" s="22"/>
      <c r="K41" s="22"/>
      <c r="L41" s="22"/>
      <c r="M41" s="22"/>
      <c r="N41" s="22"/>
      <c r="O41" s="22"/>
    </row>
    <row r="42" spans="1:15" ht="15" customHeight="1">
      <c r="A42" s="22"/>
      <c r="B42" s="22"/>
      <c r="C42" s="22"/>
      <c r="D42" s="22"/>
      <c r="E42" s="22"/>
      <c r="F42" s="22"/>
      <c r="G42" s="22"/>
      <c r="H42" s="22"/>
      <c r="I42" s="22"/>
      <c r="J42" s="22"/>
      <c r="K42" s="22"/>
      <c r="L42" s="22"/>
      <c r="M42" s="22"/>
      <c r="N42" s="22"/>
      <c r="O42" s="22"/>
    </row>
    <row r="44" spans="1:15">
      <c r="A44" s="9" t="s">
        <v>60</v>
      </c>
    </row>
  </sheetData>
  <mergeCells count="1">
    <mergeCell ref="A34:O42"/>
  </mergeCells>
  <hyperlinks>
    <hyperlink ref="A44" location="'Read Me'!A1" display="Return to Read Me" xr:uid="{50017BA1-8EF2-4112-B4BD-AD823B3A2778}"/>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5C2B-E64D-4B1D-9893-0B108628967E}">
  <dimension ref="A1:T75"/>
  <sheetViews>
    <sheetView zoomScale="70" zoomScaleNormal="70" workbookViewId="0">
      <selection activeCell="AA13" sqref="AA13"/>
    </sheetView>
  </sheetViews>
  <sheetFormatPr defaultRowHeight="14.25"/>
  <cols>
    <col min="18" max="18" width="19.73046875" customWidth="1"/>
    <col min="19" max="19" width="9.73046875" customWidth="1"/>
    <col min="20" max="20" width="11.73046875" customWidth="1"/>
  </cols>
  <sheetData>
    <row r="1" spans="1:20" ht="25.15">
      <c r="A1" s="2" t="s">
        <v>49</v>
      </c>
    </row>
    <row r="2" spans="1:20" ht="17.25">
      <c r="Q2" s="3" t="s">
        <v>16</v>
      </c>
      <c r="R2" s="3" t="s">
        <v>15</v>
      </c>
      <c r="S2" s="3" t="s">
        <v>14</v>
      </c>
      <c r="T2" s="3" t="s">
        <v>1</v>
      </c>
    </row>
    <row r="3" spans="1:20" ht="17.25">
      <c r="Q3" s="3">
        <v>0</v>
      </c>
      <c r="R3" s="13">
        <v>10</v>
      </c>
      <c r="S3" s="13">
        <v>10</v>
      </c>
      <c r="T3" s="13">
        <v>10</v>
      </c>
    </row>
    <row r="4" spans="1:20" ht="17.25">
      <c r="Q4" s="3">
        <v>1</v>
      </c>
      <c r="R4" s="13">
        <v>12.3</v>
      </c>
      <c r="S4" s="13">
        <v>11.6</v>
      </c>
      <c r="T4" s="13">
        <v>13</v>
      </c>
    </row>
    <row r="5" spans="1:20" ht="17.25">
      <c r="Q5" s="3">
        <v>2</v>
      </c>
      <c r="R5" s="13">
        <v>12.1</v>
      </c>
      <c r="S5" s="13">
        <v>10.9</v>
      </c>
      <c r="T5" s="13">
        <v>13.4</v>
      </c>
    </row>
    <row r="6" spans="1:20" ht="17.25">
      <c r="Q6" s="3">
        <v>3</v>
      </c>
      <c r="R6" s="13">
        <v>11.1</v>
      </c>
      <c r="S6" s="13">
        <v>9.5</v>
      </c>
      <c r="T6" s="13">
        <v>12.8</v>
      </c>
    </row>
    <row r="7" spans="1:20" ht="17.25">
      <c r="Q7" s="3">
        <v>4</v>
      </c>
      <c r="R7" s="13">
        <v>10.199999999999999</v>
      </c>
      <c r="S7" s="13">
        <v>8.4</v>
      </c>
      <c r="T7" s="13">
        <v>12.4</v>
      </c>
    </row>
    <row r="8" spans="1:20" ht="17.25">
      <c r="Q8" s="3">
        <v>5</v>
      </c>
      <c r="R8" s="13">
        <v>9.6999999999999993</v>
      </c>
      <c r="S8" s="13">
        <v>7.5</v>
      </c>
      <c r="T8" s="13">
        <v>12.2</v>
      </c>
    </row>
    <row r="9" spans="1:20" ht="17.25">
      <c r="Q9" s="3">
        <v>6</v>
      </c>
      <c r="R9" s="13">
        <v>8.1999999999999993</v>
      </c>
      <c r="S9" s="13">
        <v>5.7</v>
      </c>
      <c r="T9" s="13">
        <v>11</v>
      </c>
    </row>
    <row r="10" spans="1:20" ht="17.25">
      <c r="Q10" s="3">
        <v>7</v>
      </c>
      <c r="R10" s="13">
        <v>7.9</v>
      </c>
      <c r="S10" s="13">
        <v>5.5</v>
      </c>
      <c r="T10" s="13">
        <v>10.5</v>
      </c>
    </row>
    <row r="11" spans="1:20" ht="17.25">
      <c r="Q11" s="3">
        <v>8</v>
      </c>
      <c r="R11" s="13">
        <v>7.5</v>
      </c>
      <c r="S11" s="13">
        <v>5.2</v>
      </c>
      <c r="T11" s="13">
        <v>9.6</v>
      </c>
    </row>
    <row r="12" spans="1:20" ht="17.25">
      <c r="Q12" s="3">
        <v>9</v>
      </c>
      <c r="R12" s="13">
        <v>7.3</v>
      </c>
      <c r="S12" s="13">
        <v>5.3</v>
      </c>
      <c r="T12" s="13">
        <v>9.4</v>
      </c>
    </row>
    <row r="13" spans="1:20" ht="17.25">
      <c r="Q13" s="3">
        <v>10</v>
      </c>
      <c r="R13" s="13">
        <v>7.1</v>
      </c>
      <c r="S13" s="13">
        <v>5</v>
      </c>
      <c r="T13" s="13">
        <v>9.1</v>
      </c>
    </row>
    <row r="14" spans="1:20" ht="17.25">
      <c r="Q14" s="3">
        <v>11</v>
      </c>
      <c r="R14" s="13">
        <v>7.1</v>
      </c>
      <c r="S14" s="13">
        <v>5</v>
      </c>
      <c r="T14" s="13">
        <v>9.1999999999999993</v>
      </c>
    </row>
    <row r="15" spans="1:20" ht="17.25">
      <c r="Q15" s="3">
        <v>12</v>
      </c>
      <c r="R15" s="13">
        <v>6.4</v>
      </c>
      <c r="S15" s="13">
        <v>4.2</v>
      </c>
      <c r="T15" s="13">
        <v>8.6</v>
      </c>
    </row>
    <row r="16" spans="1:20" ht="17.25">
      <c r="Q16" s="3">
        <v>13</v>
      </c>
      <c r="R16" s="13">
        <v>5.9</v>
      </c>
      <c r="S16" s="13">
        <v>3.6</v>
      </c>
      <c r="T16" s="13">
        <v>8</v>
      </c>
    </row>
    <row r="17" spans="1:20" ht="17.25">
      <c r="Q17" s="3">
        <v>14</v>
      </c>
      <c r="R17" s="13">
        <v>5.2</v>
      </c>
      <c r="S17" s="13">
        <v>3</v>
      </c>
      <c r="T17" s="13">
        <v>7.3</v>
      </c>
    </row>
    <row r="18" spans="1:20" ht="17.25">
      <c r="Q18" s="3">
        <v>15</v>
      </c>
      <c r="R18" s="13">
        <v>4.8</v>
      </c>
      <c r="S18" s="13">
        <v>2.7</v>
      </c>
      <c r="T18" s="13">
        <v>6.9</v>
      </c>
    </row>
    <row r="19" spans="1:20" ht="17.25">
      <c r="Q19" s="3">
        <v>16</v>
      </c>
      <c r="R19" s="13">
        <v>4.7</v>
      </c>
      <c r="S19" s="13">
        <v>2.6</v>
      </c>
      <c r="T19" s="13">
        <v>6.8</v>
      </c>
    </row>
    <row r="20" spans="1:20" ht="17.25">
      <c r="Q20" s="3">
        <v>17</v>
      </c>
      <c r="R20" s="13">
        <v>4.5</v>
      </c>
      <c r="S20" s="13">
        <v>2.5</v>
      </c>
      <c r="T20" s="13">
        <v>6.5</v>
      </c>
    </row>
    <row r="21" spans="1:20" ht="17.25">
      <c r="Q21" s="3">
        <v>18</v>
      </c>
      <c r="R21" s="13">
        <v>4.5</v>
      </c>
      <c r="S21" s="13">
        <v>2.4</v>
      </c>
      <c r="T21" s="13">
        <v>6.4</v>
      </c>
    </row>
    <row r="22" spans="1:20" ht="17.25">
      <c r="Q22" s="3">
        <v>19</v>
      </c>
      <c r="R22" s="13">
        <v>4.3</v>
      </c>
      <c r="S22" s="13">
        <v>2.2999999999999998</v>
      </c>
      <c r="T22" s="13">
        <v>6.2</v>
      </c>
    </row>
    <row r="23" spans="1:20" ht="17.25">
      <c r="Q23" s="3">
        <v>20</v>
      </c>
      <c r="R23" s="13">
        <v>4</v>
      </c>
      <c r="S23" s="13">
        <v>2.2000000000000002</v>
      </c>
      <c r="T23" s="13">
        <v>6</v>
      </c>
    </row>
    <row r="24" spans="1:20" ht="17.25">
      <c r="Q24" s="3">
        <v>21</v>
      </c>
      <c r="R24" s="13">
        <v>3.9</v>
      </c>
      <c r="S24" s="13">
        <v>2</v>
      </c>
      <c r="T24" s="13">
        <v>5.8</v>
      </c>
    </row>
    <row r="25" spans="1:20" ht="17.25">
      <c r="Q25" s="3">
        <v>22</v>
      </c>
      <c r="R25" s="13">
        <v>3.6</v>
      </c>
      <c r="S25" s="13">
        <v>1.8</v>
      </c>
      <c r="T25" s="13">
        <v>5.6</v>
      </c>
    </row>
    <row r="26" spans="1:20" ht="17.25">
      <c r="Q26" s="3">
        <v>23</v>
      </c>
      <c r="R26" s="13">
        <v>3.4</v>
      </c>
      <c r="S26" s="13">
        <v>1.5</v>
      </c>
      <c r="T26" s="13">
        <v>5.3</v>
      </c>
    </row>
    <row r="27" spans="1:20" ht="17.25">
      <c r="Q27" s="3">
        <v>24</v>
      </c>
      <c r="R27" s="13">
        <v>3.1</v>
      </c>
      <c r="S27" s="13">
        <v>1.3</v>
      </c>
      <c r="T27" s="13">
        <v>5</v>
      </c>
    </row>
    <row r="28" spans="1:20" ht="17.25">
      <c r="Q28" s="3">
        <v>25</v>
      </c>
      <c r="R28" s="13">
        <v>2.9</v>
      </c>
      <c r="S28" s="13">
        <v>1.2</v>
      </c>
      <c r="T28" s="13">
        <v>4.8</v>
      </c>
    </row>
    <row r="29" spans="1:20" ht="17.25">
      <c r="Q29" s="3">
        <v>26</v>
      </c>
      <c r="R29" s="13">
        <v>2.8</v>
      </c>
      <c r="S29" s="13">
        <v>1.1000000000000001</v>
      </c>
      <c r="T29" s="13">
        <v>4.5999999999999996</v>
      </c>
    </row>
    <row r="30" spans="1:20" ht="17.25">
      <c r="Q30" s="3">
        <v>27</v>
      </c>
      <c r="R30" s="13">
        <v>2.7</v>
      </c>
      <c r="S30" s="13">
        <v>1</v>
      </c>
      <c r="T30" s="13">
        <v>4.5</v>
      </c>
    </row>
    <row r="31" spans="1:20" ht="17.25">
      <c r="Q31" s="3">
        <v>28</v>
      </c>
      <c r="R31" s="13">
        <v>2.6</v>
      </c>
      <c r="S31" s="13">
        <v>0.9</v>
      </c>
      <c r="T31" s="13">
        <v>4.4000000000000004</v>
      </c>
    </row>
    <row r="32" spans="1:20" ht="17.25">
      <c r="A32" s="18" t="s">
        <v>73</v>
      </c>
      <c r="Q32" s="3">
        <v>29</v>
      </c>
      <c r="R32" s="13">
        <v>2.5</v>
      </c>
      <c r="S32" s="13">
        <v>0.9</v>
      </c>
      <c r="T32" s="13">
        <v>4.3</v>
      </c>
    </row>
    <row r="33" spans="1:20" ht="18" customHeight="1">
      <c r="A33" s="20" t="s">
        <v>40</v>
      </c>
      <c r="B33" s="20"/>
      <c r="C33" s="20"/>
      <c r="D33" s="20"/>
      <c r="E33" s="20"/>
      <c r="F33" s="20"/>
      <c r="G33" s="20"/>
      <c r="H33" s="20"/>
      <c r="I33" s="20"/>
      <c r="J33" s="20"/>
      <c r="K33" s="20"/>
      <c r="L33" s="20"/>
      <c r="M33" s="20"/>
      <c r="N33" s="20"/>
      <c r="O33" s="20"/>
      <c r="Q33" s="3">
        <v>30</v>
      </c>
      <c r="R33" s="13">
        <v>2.4</v>
      </c>
      <c r="S33" s="13">
        <v>0.8</v>
      </c>
      <c r="T33" s="13">
        <v>4.2</v>
      </c>
    </row>
    <row r="34" spans="1:20" ht="17.25">
      <c r="A34" s="20"/>
      <c r="B34" s="20"/>
      <c r="C34" s="20"/>
      <c r="D34" s="20"/>
      <c r="E34" s="20"/>
      <c r="F34" s="20"/>
      <c r="G34" s="20"/>
      <c r="H34" s="20"/>
      <c r="I34" s="20"/>
      <c r="J34" s="20"/>
      <c r="K34" s="20"/>
      <c r="L34" s="20"/>
      <c r="M34" s="20"/>
      <c r="N34" s="20"/>
      <c r="O34" s="20"/>
      <c r="Q34" s="3">
        <v>31</v>
      </c>
      <c r="R34" s="13">
        <v>2.2000000000000002</v>
      </c>
      <c r="S34" s="13">
        <v>0.6</v>
      </c>
      <c r="T34" s="13">
        <v>4</v>
      </c>
    </row>
    <row r="35" spans="1:20" ht="17.25">
      <c r="A35" s="11"/>
      <c r="B35" s="11"/>
      <c r="C35" s="11"/>
      <c r="D35" s="11"/>
      <c r="E35" s="11"/>
      <c r="F35" s="11"/>
      <c r="G35" s="11"/>
      <c r="H35" s="11"/>
      <c r="I35" s="11"/>
      <c r="J35" s="11"/>
      <c r="K35" s="11"/>
      <c r="L35" s="11"/>
      <c r="M35" s="11"/>
      <c r="N35" s="11"/>
      <c r="O35" s="11"/>
      <c r="Q35" s="3">
        <v>32</v>
      </c>
      <c r="R35" s="13">
        <v>2.1</v>
      </c>
      <c r="S35" s="13">
        <v>0.5</v>
      </c>
      <c r="T35" s="13">
        <v>3.9</v>
      </c>
    </row>
    <row r="36" spans="1:20" ht="17.25">
      <c r="A36" s="9" t="s">
        <v>60</v>
      </c>
      <c r="B36" s="11"/>
      <c r="C36" s="11"/>
      <c r="D36" s="11"/>
      <c r="E36" s="11"/>
      <c r="F36" s="11"/>
      <c r="G36" s="11"/>
      <c r="H36" s="11"/>
      <c r="I36" s="11"/>
      <c r="J36" s="11"/>
      <c r="K36" s="11"/>
      <c r="L36" s="11"/>
      <c r="M36" s="11"/>
      <c r="N36" s="11"/>
      <c r="O36" s="11"/>
      <c r="Q36" s="3">
        <v>33</v>
      </c>
      <c r="R36" s="13">
        <v>2.1</v>
      </c>
      <c r="S36" s="13">
        <v>0.5</v>
      </c>
      <c r="T36" s="13">
        <v>3.8</v>
      </c>
    </row>
    <row r="37" spans="1:20" ht="17.25">
      <c r="Q37" s="3">
        <v>34</v>
      </c>
      <c r="R37" s="13">
        <v>1.9</v>
      </c>
      <c r="S37" s="13">
        <v>0.3</v>
      </c>
      <c r="T37" s="13">
        <v>3.6</v>
      </c>
    </row>
    <row r="38" spans="1:20" ht="17.25">
      <c r="Q38" s="3">
        <v>35</v>
      </c>
      <c r="R38" s="13">
        <v>1.7</v>
      </c>
      <c r="S38" s="13">
        <v>0.2</v>
      </c>
      <c r="T38" s="13">
        <v>3.5</v>
      </c>
    </row>
    <row r="39" spans="1:20" ht="17.25">
      <c r="Q39" s="3">
        <v>36</v>
      </c>
      <c r="R39" s="13">
        <v>1.7</v>
      </c>
      <c r="S39" s="13">
        <v>0.1</v>
      </c>
      <c r="T39" s="13">
        <v>3.4</v>
      </c>
    </row>
    <row r="40" spans="1:20" ht="18" customHeight="1">
      <c r="A40" s="6"/>
      <c r="B40" s="6"/>
      <c r="C40" s="6"/>
      <c r="D40" s="6"/>
      <c r="E40" s="6"/>
      <c r="F40" s="6"/>
      <c r="G40" s="6"/>
      <c r="H40" s="6"/>
      <c r="I40" s="6"/>
      <c r="J40" s="6"/>
      <c r="K40" s="6"/>
      <c r="L40" s="6"/>
      <c r="M40" s="6"/>
      <c r="N40" s="6"/>
      <c r="O40" s="6"/>
      <c r="Q40" s="3">
        <v>37</v>
      </c>
      <c r="R40" s="13">
        <v>1.6</v>
      </c>
      <c r="S40" s="13">
        <v>0</v>
      </c>
      <c r="T40" s="13">
        <v>3.3</v>
      </c>
    </row>
    <row r="41" spans="1:20" ht="17.25">
      <c r="A41" s="6"/>
      <c r="B41" s="6"/>
      <c r="C41" s="6"/>
      <c r="D41" s="6"/>
      <c r="E41" s="6"/>
      <c r="F41" s="6"/>
      <c r="G41" s="6"/>
      <c r="H41" s="6"/>
      <c r="I41" s="6"/>
      <c r="J41" s="6"/>
      <c r="K41" s="6"/>
      <c r="L41" s="6"/>
      <c r="M41" s="6"/>
      <c r="N41" s="6"/>
      <c r="O41" s="6"/>
      <c r="Q41" s="3">
        <v>38</v>
      </c>
      <c r="R41" s="13">
        <v>1.5</v>
      </c>
      <c r="S41" s="13">
        <v>0</v>
      </c>
      <c r="T41" s="13">
        <v>3.2</v>
      </c>
    </row>
    <row r="42" spans="1:20" ht="17.25">
      <c r="B42" s="6"/>
      <c r="C42" s="6"/>
      <c r="D42" s="6"/>
      <c r="E42" s="6"/>
      <c r="F42" s="6"/>
      <c r="G42" s="6"/>
      <c r="H42" s="6"/>
      <c r="I42" s="6"/>
      <c r="J42" s="6"/>
      <c r="K42" s="6"/>
      <c r="L42" s="6"/>
      <c r="M42" s="6"/>
      <c r="N42" s="6"/>
      <c r="O42" s="6"/>
      <c r="Q42" s="3">
        <v>39</v>
      </c>
      <c r="R42" s="13">
        <v>1.4</v>
      </c>
      <c r="S42" s="13">
        <v>-0.1</v>
      </c>
      <c r="T42" s="13">
        <v>3.1</v>
      </c>
    </row>
    <row r="43" spans="1:20" ht="17.25">
      <c r="A43" s="6"/>
      <c r="B43" s="6"/>
      <c r="C43" s="6"/>
      <c r="D43" s="6"/>
      <c r="E43" s="6"/>
      <c r="F43" s="6"/>
      <c r="G43" s="6"/>
      <c r="H43" s="6"/>
      <c r="I43" s="6"/>
      <c r="J43" s="6"/>
      <c r="K43" s="6"/>
      <c r="L43" s="6"/>
      <c r="M43" s="6"/>
      <c r="N43" s="6"/>
      <c r="O43" s="6"/>
      <c r="Q43" s="3">
        <v>40</v>
      </c>
      <c r="R43" s="13">
        <v>1.3</v>
      </c>
      <c r="S43" s="13">
        <v>-0.2</v>
      </c>
      <c r="T43" s="13">
        <v>2.9</v>
      </c>
    </row>
    <row r="44" spans="1:20" ht="17.25">
      <c r="Q44" s="3">
        <v>41</v>
      </c>
      <c r="R44" s="13">
        <v>1.3</v>
      </c>
      <c r="S44" s="13">
        <v>-0.2</v>
      </c>
      <c r="T44" s="13">
        <v>2.9</v>
      </c>
    </row>
    <row r="45" spans="1:20" ht="17.25">
      <c r="Q45" s="3">
        <v>42</v>
      </c>
      <c r="R45" s="13">
        <v>1.2</v>
      </c>
      <c r="S45" s="13">
        <v>-0.3</v>
      </c>
      <c r="T45" s="13">
        <v>2.7</v>
      </c>
    </row>
    <row r="46" spans="1:20" ht="17.25">
      <c r="Q46" s="3">
        <v>43</v>
      </c>
      <c r="R46" s="13">
        <v>1.1000000000000001</v>
      </c>
      <c r="S46" s="13">
        <v>-0.4</v>
      </c>
      <c r="T46" s="13">
        <v>2.6</v>
      </c>
    </row>
    <row r="47" spans="1:20" ht="17.25">
      <c r="Q47" s="3">
        <v>44</v>
      </c>
      <c r="R47" s="13">
        <v>1</v>
      </c>
      <c r="S47" s="13">
        <v>-0.5</v>
      </c>
      <c r="T47" s="13">
        <v>2.5</v>
      </c>
    </row>
    <row r="48" spans="1:20" ht="17.25">
      <c r="Q48" s="3">
        <v>45</v>
      </c>
      <c r="R48" s="13">
        <v>0.9</v>
      </c>
      <c r="S48" s="13">
        <v>-0.6</v>
      </c>
      <c r="T48" s="13">
        <v>2.4</v>
      </c>
    </row>
    <row r="49" spans="17:20" ht="17.25">
      <c r="Q49" s="3">
        <v>46</v>
      </c>
      <c r="R49" s="13">
        <v>0.8</v>
      </c>
      <c r="S49" s="13">
        <v>-0.6</v>
      </c>
      <c r="T49" s="13">
        <v>2.2999999999999998</v>
      </c>
    </row>
    <row r="50" spans="17:20" ht="17.25">
      <c r="Q50" s="3">
        <v>47</v>
      </c>
      <c r="R50" s="13">
        <v>0.8</v>
      </c>
      <c r="S50" s="13">
        <v>-0.7</v>
      </c>
      <c r="T50" s="13">
        <v>2.2000000000000002</v>
      </c>
    </row>
    <row r="51" spans="17:20" ht="17.25">
      <c r="Q51" s="3">
        <v>48</v>
      </c>
      <c r="R51" s="13">
        <v>0.7</v>
      </c>
      <c r="S51" s="13">
        <v>-0.7</v>
      </c>
      <c r="T51" s="13">
        <v>2.2000000000000002</v>
      </c>
    </row>
    <row r="52" spans="17:20" ht="17.25">
      <c r="Q52" s="3">
        <v>49</v>
      </c>
      <c r="R52" s="13">
        <v>0.7</v>
      </c>
      <c r="S52" s="13">
        <v>-0.7</v>
      </c>
      <c r="T52" s="13">
        <v>2.1</v>
      </c>
    </row>
    <row r="53" spans="17:20" ht="17.25">
      <c r="Q53" s="3">
        <v>50</v>
      </c>
      <c r="R53" s="13">
        <v>0.6</v>
      </c>
      <c r="S53" s="13">
        <v>-0.7</v>
      </c>
      <c r="T53" s="13">
        <v>2</v>
      </c>
    </row>
    <row r="54" spans="17:20" ht="17.25">
      <c r="Q54" s="3">
        <v>51</v>
      </c>
      <c r="R54" s="13">
        <v>0.6</v>
      </c>
      <c r="S54" s="13">
        <v>-0.7</v>
      </c>
      <c r="T54" s="13">
        <v>2</v>
      </c>
    </row>
    <row r="55" spans="17:20" ht="17.25">
      <c r="Q55" s="3">
        <v>52</v>
      </c>
      <c r="R55" s="13">
        <v>0.6</v>
      </c>
      <c r="S55" s="13">
        <v>-0.8</v>
      </c>
      <c r="T55" s="13">
        <v>1.9</v>
      </c>
    </row>
    <row r="56" spans="17:20" ht="17.25">
      <c r="Q56" s="3">
        <v>53</v>
      </c>
      <c r="R56" s="13">
        <v>0.5</v>
      </c>
      <c r="S56" s="13">
        <v>-0.8</v>
      </c>
      <c r="T56" s="13">
        <v>1.9</v>
      </c>
    </row>
    <row r="57" spans="17:20" ht="17.25">
      <c r="Q57" s="3">
        <v>54</v>
      </c>
      <c r="R57" s="13">
        <v>0.5</v>
      </c>
      <c r="S57" s="13">
        <v>-0.8</v>
      </c>
      <c r="T57" s="13">
        <v>1.8</v>
      </c>
    </row>
    <row r="58" spans="17:20" ht="17.25">
      <c r="Q58" s="3">
        <v>55</v>
      </c>
      <c r="R58" s="13">
        <v>0.5</v>
      </c>
      <c r="S58" s="13">
        <v>-0.8</v>
      </c>
      <c r="T58" s="13">
        <v>1.8</v>
      </c>
    </row>
    <row r="59" spans="17:20" ht="17.25">
      <c r="Q59" s="3">
        <v>56</v>
      </c>
      <c r="R59" s="13">
        <v>0.5</v>
      </c>
      <c r="S59" s="13">
        <v>-0.8</v>
      </c>
      <c r="T59" s="13">
        <v>1.8</v>
      </c>
    </row>
    <row r="60" spans="17:20" ht="17.25">
      <c r="Q60" s="3">
        <v>57</v>
      </c>
      <c r="R60" s="13">
        <v>0.5</v>
      </c>
      <c r="S60" s="13">
        <v>-0.8</v>
      </c>
      <c r="T60" s="13">
        <v>1.8</v>
      </c>
    </row>
    <row r="61" spans="17:20" ht="17.25">
      <c r="Q61" s="3">
        <v>58</v>
      </c>
      <c r="R61" s="13">
        <v>0.5</v>
      </c>
      <c r="S61" s="13">
        <v>-0.8</v>
      </c>
      <c r="T61" s="13">
        <v>1.7</v>
      </c>
    </row>
    <row r="62" spans="17:20" ht="17.25">
      <c r="Q62" s="3">
        <v>59</v>
      </c>
      <c r="R62" s="13">
        <v>0.5</v>
      </c>
      <c r="S62" s="13">
        <v>-0.8</v>
      </c>
      <c r="T62" s="13">
        <v>1.7</v>
      </c>
    </row>
    <row r="63" spans="17:20" ht="17.25">
      <c r="Q63" s="3">
        <v>60</v>
      </c>
      <c r="R63" s="13">
        <v>0.5</v>
      </c>
      <c r="S63" s="13">
        <v>-0.7</v>
      </c>
      <c r="T63" s="13">
        <v>1.7</v>
      </c>
    </row>
    <row r="64" spans="17:20" ht="17.25">
      <c r="Q64" s="3">
        <v>61</v>
      </c>
      <c r="R64" s="13">
        <v>0.5</v>
      </c>
      <c r="S64" s="13">
        <v>-0.7</v>
      </c>
      <c r="T64" s="13">
        <v>1.7</v>
      </c>
    </row>
    <row r="65" spans="17:20" ht="17.25">
      <c r="Q65" s="3">
        <v>62</v>
      </c>
      <c r="R65" s="13">
        <v>0.5</v>
      </c>
      <c r="S65" s="13">
        <v>-0.7</v>
      </c>
      <c r="T65" s="13">
        <v>1.7</v>
      </c>
    </row>
    <row r="66" spans="17:20" ht="17.25">
      <c r="Q66" s="3">
        <v>63</v>
      </c>
      <c r="R66" s="13">
        <v>0.5</v>
      </c>
      <c r="S66" s="13">
        <v>-0.7</v>
      </c>
      <c r="T66" s="13">
        <v>1.7</v>
      </c>
    </row>
    <row r="67" spans="17:20" ht="17.25">
      <c r="Q67" s="3">
        <v>64</v>
      </c>
      <c r="R67" s="13">
        <v>0.5</v>
      </c>
      <c r="S67" s="13">
        <v>-0.7</v>
      </c>
      <c r="T67" s="13">
        <v>1.7</v>
      </c>
    </row>
    <row r="68" spans="17:20" ht="17.25">
      <c r="Q68" s="3">
        <v>65</v>
      </c>
      <c r="R68" s="13">
        <v>0.5</v>
      </c>
      <c r="S68" s="13">
        <v>-0.6</v>
      </c>
      <c r="T68" s="13">
        <v>1.7</v>
      </c>
    </row>
    <row r="69" spans="17:20" ht="17.25">
      <c r="Q69" s="3">
        <v>66</v>
      </c>
      <c r="R69" s="13">
        <v>0.5</v>
      </c>
      <c r="S69" s="13">
        <v>-0.6</v>
      </c>
      <c r="T69" s="13">
        <v>1.7</v>
      </c>
    </row>
    <row r="70" spans="17:20" ht="17.25">
      <c r="Q70" s="3">
        <v>67</v>
      </c>
      <c r="R70" s="13">
        <v>0.5</v>
      </c>
      <c r="S70" s="13">
        <v>-0.6</v>
      </c>
      <c r="T70" s="13">
        <v>1.7</v>
      </c>
    </row>
    <row r="71" spans="17:20" ht="17.25">
      <c r="Q71" s="3">
        <v>68</v>
      </c>
      <c r="R71" s="13">
        <v>0.5</v>
      </c>
      <c r="S71" s="13">
        <v>-0.6</v>
      </c>
      <c r="T71" s="13">
        <v>1.7</v>
      </c>
    </row>
    <row r="72" spans="17:20" ht="17.25">
      <c r="Q72" s="3">
        <v>69</v>
      </c>
      <c r="R72" s="13">
        <v>0.6</v>
      </c>
      <c r="S72" s="13">
        <v>-0.5</v>
      </c>
      <c r="T72" s="13">
        <v>1.7</v>
      </c>
    </row>
    <row r="73" spans="17:20" ht="17.25">
      <c r="Q73" s="3">
        <v>70</v>
      </c>
      <c r="R73" s="13">
        <v>0.6</v>
      </c>
      <c r="S73" s="13">
        <v>-0.5</v>
      </c>
      <c r="T73" s="13">
        <v>1.7</v>
      </c>
    </row>
    <row r="74" spans="17:20" ht="17.25">
      <c r="Q74" s="3">
        <v>71</v>
      </c>
      <c r="R74" s="13">
        <v>0.6</v>
      </c>
      <c r="S74" s="13">
        <v>-0.5</v>
      </c>
      <c r="T74" s="13">
        <v>1.7</v>
      </c>
    </row>
    <row r="75" spans="17:20" ht="17.25">
      <c r="Q75" s="3">
        <v>72</v>
      </c>
      <c r="R75" s="13">
        <v>0.6</v>
      </c>
      <c r="S75" s="13">
        <v>-0.5</v>
      </c>
      <c r="T75" s="13">
        <v>1.7</v>
      </c>
    </row>
  </sheetData>
  <mergeCells count="1">
    <mergeCell ref="A33:O34"/>
  </mergeCells>
  <hyperlinks>
    <hyperlink ref="A36" location="'Read Me'!A1" display="Return to Read Me" xr:uid="{13A8ADBD-11C5-491B-9404-1E81EB43E66B}"/>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5B17-E763-40D5-AA20-9F6E04562D24}">
  <dimension ref="A1:T75"/>
  <sheetViews>
    <sheetView zoomScale="70" zoomScaleNormal="70" workbookViewId="0">
      <selection activeCell="R2" sqref="R2"/>
    </sheetView>
  </sheetViews>
  <sheetFormatPr defaultRowHeight="17.25"/>
  <cols>
    <col min="17" max="20" width="9.1328125" style="3"/>
  </cols>
  <sheetData>
    <row r="1" spans="1:20" ht="25.15">
      <c r="A1" s="2" t="s">
        <v>50</v>
      </c>
    </row>
    <row r="2" spans="1:20">
      <c r="Q2" s="3" t="s">
        <v>16</v>
      </c>
      <c r="R2" s="3" t="s">
        <v>70</v>
      </c>
      <c r="S2" s="3" t="s">
        <v>14</v>
      </c>
      <c r="T2" s="3" t="s">
        <v>13</v>
      </c>
    </row>
    <row r="3" spans="1:20">
      <c r="Q3" s="3">
        <v>0</v>
      </c>
      <c r="R3" s="15">
        <v>-1.08</v>
      </c>
      <c r="S3" s="15">
        <v>-1.58</v>
      </c>
      <c r="T3" s="15">
        <v>-0.62</v>
      </c>
    </row>
    <row r="4" spans="1:20">
      <c r="Q4" s="3">
        <v>1</v>
      </c>
      <c r="R4" s="15">
        <v>-0.8</v>
      </c>
      <c r="S4" s="15">
        <v>-1.18</v>
      </c>
      <c r="T4" s="15">
        <v>-0.44</v>
      </c>
    </row>
    <row r="5" spans="1:20">
      <c r="Q5" s="3">
        <v>2</v>
      </c>
      <c r="R5" s="15">
        <v>-0.5</v>
      </c>
      <c r="S5" s="15">
        <v>-0.83</v>
      </c>
      <c r="T5" s="15">
        <v>-0.19</v>
      </c>
    </row>
    <row r="6" spans="1:20">
      <c r="Q6" s="3">
        <v>3</v>
      </c>
      <c r="R6" s="15">
        <v>-0.33</v>
      </c>
      <c r="S6" s="15">
        <v>-0.63</v>
      </c>
      <c r="T6" s="15">
        <v>-0.04</v>
      </c>
    </row>
    <row r="7" spans="1:20">
      <c r="Q7" s="3">
        <v>4</v>
      </c>
      <c r="R7" s="15">
        <v>-0.32</v>
      </c>
      <c r="S7" s="15">
        <v>-0.6</v>
      </c>
      <c r="T7" s="15">
        <v>-0.05</v>
      </c>
    </row>
    <row r="8" spans="1:20">
      <c r="Q8" s="3">
        <v>5</v>
      </c>
      <c r="R8" s="15">
        <v>-0.22</v>
      </c>
      <c r="S8" s="15">
        <v>-0.46</v>
      </c>
      <c r="T8" s="15">
        <v>0.02</v>
      </c>
    </row>
    <row r="9" spans="1:20">
      <c r="Q9" s="3">
        <v>6</v>
      </c>
      <c r="R9" s="15">
        <v>-0.21</v>
      </c>
      <c r="S9" s="15">
        <v>-0.48</v>
      </c>
      <c r="T9" s="15">
        <v>0.08</v>
      </c>
    </row>
    <row r="10" spans="1:20">
      <c r="Q10" s="3">
        <v>7</v>
      </c>
      <c r="R10" s="15">
        <v>-0.06</v>
      </c>
      <c r="S10" s="15">
        <v>-0.33</v>
      </c>
      <c r="T10" s="15">
        <v>0.2</v>
      </c>
    </row>
    <row r="11" spans="1:20">
      <c r="Q11" s="3">
        <v>8</v>
      </c>
      <c r="R11" s="15">
        <v>-0.12</v>
      </c>
      <c r="S11" s="15">
        <v>-0.42</v>
      </c>
      <c r="T11" s="15">
        <v>0.17</v>
      </c>
    </row>
    <row r="12" spans="1:20">
      <c r="Q12" s="3">
        <v>9</v>
      </c>
      <c r="R12" s="15">
        <v>-0.23</v>
      </c>
      <c r="S12" s="15">
        <v>-0.56000000000000005</v>
      </c>
      <c r="T12" s="15">
        <v>7.0000000000000007E-2</v>
      </c>
    </row>
    <row r="13" spans="1:20">
      <c r="Q13" s="3">
        <v>10</v>
      </c>
      <c r="R13" s="15">
        <v>-0.16</v>
      </c>
      <c r="S13" s="15">
        <v>-0.45</v>
      </c>
      <c r="T13" s="15">
        <v>0.14000000000000001</v>
      </c>
    </row>
    <row r="14" spans="1:20">
      <c r="Q14" s="3">
        <v>11</v>
      </c>
      <c r="R14" s="15">
        <v>-7.0000000000000007E-2</v>
      </c>
      <c r="S14" s="15">
        <v>-0.32</v>
      </c>
      <c r="T14" s="15">
        <v>0.17</v>
      </c>
    </row>
    <row r="15" spans="1:20">
      <c r="Q15" s="3">
        <v>12</v>
      </c>
      <c r="R15" s="15">
        <v>-0.19</v>
      </c>
      <c r="S15" s="15">
        <v>-0.43</v>
      </c>
      <c r="T15" s="15">
        <v>0.05</v>
      </c>
    </row>
    <row r="16" spans="1:20">
      <c r="Q16" s="3">
        <v>13</v>
      </c>
      <c r="R16" s="15">
        <v>-0.2</v>
      </c>
      <c r="S16" s="15">
        <v>-0.44</v>
      </c>
      <c r="T16" s="15">
        <v>0.03</v>
      </c>
    </row>
    <row r="17" spans="1:20">
      <c r="Q17" s="3">
        <v>14</v>
      </c>
      <c r="R17" s="15">
        <v>-0.24</v>
      </c>
      <c r="S17" s="15">
        <v>-0.48</v>
      </c>
      <c r="T17" s="15">
        <v>-0.01</v>
      </c>
    </row>
    <row r="18" spans="1:20">
      <c r="Q18" s="3">
        <v>15</v>
      </c>
      <c r="R18" s="15">
        <v>-0.28999999999999998</v>
      </c>
      <c r="S18" s="15">
        <v>-0.55000000000000004</v>
      </c>
      <c r="T18" s="15">
        <v>-0.05</v>
      </c>
    </row>
    <row r="19" spans="1:20">
      <c r="Q19" s="3">
        <v>16</v>
      </c>
      <c r="R19" s="15">
        <v>-0.27</v>
      </c>
      <c r="S19" s="15">
        <v>-0.54</v>
      </c>
      <c r="T19" s="15">
        <v>0</v>
      </c>
    </row>
    <row r="20" spans="1:20">
      <c r="Q20" s="3">
        <v>17</v>
      </c>
      <c r="R20" s="15">
        <v>-0.21</v>
      </c>
      <c r="S20" s="15">
        <v>-0.47</v>
      </c>
      <c r="T20" s="15">
        <v>0.06</v>
      </c>
    </row>
    <row r="21" spans="1:20">
      <c r="Q21" s="3">
        <v>18</v>
      </c>
      <c r="R21" s="15">
        <v>-0.19</v>
      </c>
      <c r="S21" s="15">
        <v>-0.45</v>
      </c>
      <c r="T21" s="15">
        <v>0.05</v>
      </c>
    </row>
    <row r="22" spans="1:20">
      <c r="Q22" s="3">
        <v>19</v>
      </c>
      <c r="R22" s="15">
        <v>-0.21</v>
      </c>
      <c r="S22" s="15">
        <v>-0.46</v>
      </c>
      <c r="T22" s="15">
        <v>0.02</v>
      </c>
    </row>
    <row r="23" spans="1:20">
      <c r="Q23" s="3">
        <v>20</v>
      </c>
      <c r="R23" s="15">
        <v>-0.19</v>
      </c>
      <c r="S23" s="15">
        <v>-0.43</v>
      </c>
      <c r="T23" s="15">
        <v>0.03</v>
      </c>
    </row>
    <row r="24" spans="1:20">
      <c r="Q24" s="3">
        <v>21</v>
      </c>
      <c r="R24" s="15">
        <v>-0.2</v>
      </c>
      <c r="S24" s="15">
        <v>-0.42</v>
      </c>
      <c r="T24" s="15">
        <v>0.03</v>
      </c>
    </row>
    <row r="25" spans="1:20">
      <c r="Q25" s="3">
        <v>22</v>
      </c>
      <c r="R25" s="15">
        <v>-0.22</v>
      </c>
      <c r="S25" s="15">
        <v>-0.44</v>
      </c>
      <c r="T25" s="15">
        <v>0</v>
      </c>
    </row>
    <row r="26" spans="1:20">
      <c r="Q26" s="3">
        <v>23</v>
      </c>
      <c r="R26" s="15">
        <v>-0.23</v>
      </c>
      <c r="S26" s="15">
        <v>-0.45</v>
      </c>
      <c r="T26" s="15">
        <v>-0.01</v>
      </c>
    </row>
    <row r="27" spans="1:20">
      <c r="Q27" s="3">
        <v>24</v>
      </c>
      <c r="R27" s="15">
        <v>-0.25</v>
      </c>
      <c r="S27" s="15">
        <v>-0.47</v>
      </c>
      <c r="T27" s="15">
        <v>-0.03</v>
      </c>
    </row>
    <row r="28" spans="1:20">
      <c r="Q28" s="3">
        <v>25</v>
      </c>
      <c r="R28" s="15">
        <v>-0.27</v>
      </c>
      <c r="S28" s="15">
        <v>-0.5</v>
      </c>
      <c r="T28" s="15">
        <v>-0.06</v>
      </c>
    </row>
    <row r="29" spans="1:20">
      <c r="Q29" s="3">
        <v>26</v>
      </c>
      <c r="R29" s="15">
        <v>-0.26</v>
      </c>
      <c r="S29" s="15">
        <v>-0.48</v>
      </c>
      <c r="T29" s="15">
        <v>-0.04</v>
      </c>
    </row>
    <row r="30" spans="1:20">
      <c r="Q30" s="3">
        <v>27</v>
      </c>
      <c r="R30" s="15">
        <v>-0.26</v>
      </c>
      <c r="S30" s="15">
        <v>-0.48</v>
      </c>
      <c r="T30" s="15">
        <v>-0.04</v>
      </c>
    </row>
    <row r="31" spans="1:20">
      <c r="Q31" s="3">
        <v>28</v>
      </c>
      <c r="R31" s="15">
        <v>-0.26</v>
      </c>
      <c r="S31" s="15">
        <v>-0.48</v>
      </c>
      <c r="T31" s="15">
        <v>-0.03</v>
      </c>
    </row>
    <row r="32" spans="1:20">
      <c r="A32" s="3" t="s">
        <v>39</v>
      </c>
      <c r="Q32" s="3">
        <v>29</v>
      </c>
      <c r="R32" s="15">
        <v>-0.22</v>
      </c>
      <c r="S32" s="15">
        <v>-0.43</v>
      </c>
      <c r="T32" s="15">
        <v>0.01</v>
      </c>
    </row>
    <row r="33" spans="1:20">
      <c r="A33" s="21" t="s">
        <v>40</v>
      </c>
      <c r="B33" s="21"/>
      <c r="C33" s="21"/>
      <c r="D33" s="21"/>
      <c r="E33" s="21"/>
      <c r="F33" s="21"/>
      <c r="G33" s="21"/>
      <c r="H33" s="21"/>
      <c r="I33" s="21"/>
      <c r="J33" s="21"/>
      <c r="K33" s="21"/>
      <c r="L33" s="21"/>
      <c r="M33" s="21"/>
      <c r="N33" s="21"/>
      <c r="O33" s="21"/>
      <c r="Q33" s="3">
        <v>30</v>
      </c>
      <c r="R33" s="15">
        <v>-0.2</v>
      </c>
      <c r="S33" s="15">
        <v>-0.42</v>
      </c>
      <c r="T33" s="15">
        <v>0.02</v>
      </c>
    </row>
    <row r="34" spans="1:20">
      <c r="A34" s="21"/>
      <c r="B34" s="21"/>
      <c r="C34" s="21"/>
      <c r="D34" s="21"/>
      <c r="E34" s="21"/>
      <c r="F34" s="21"/>
      <c r="G34" s="21"/>
      <c r="H34" s="21"/>
      <c r="I34" s="21"/>
      <c r="J34" s="21"/>
      <c r="K34" s="21"/>
      <c r="L34" s="21"/>
      <c r="M34" s="21"/>
      <c r="N34" s="21"/>
      <c r="O34" s="21"/>
      <c r="Q34" s="3">
        <v>31</v>
      </c>
      <c r="R34" s="15">
        <v>-0.2</v>
      </c>
      <c r="S34" s="15">
        <v>-0.41</v>
      </c>
      <c r="T34" s="15">
        <v>0.02</v>
      </c>
    </row>
    <row r="35" spans="1:20">
      <c r="A35" s="21"/>
      <c r="B35" s="21"/>
      <c r="C35" s="21"/>
      <c r="D35" s="21"/>
      <c r="E35" s="21"/>
      <c r="F35" s="21"/>
      <c r="G35" s="21"/>
      <c r="H35" s="21"/>
      <c r="I35" s="21"/>
      <c r="J35" s="21"/>
      <c r="K35" s="21"/>
      <c r="L35" s="21"/>
      <c r="M35" s="21"/>
      <c r="N35" s="21"/>
      <c r="O35" s="21"/>
      <c r="Q35" s="3">
        <v>32</v>
      </c>
      <c r="R35" s="15">
        <v>-0.18</v>
      </c>
      <c r="S35" s="15">
        <v>-0.39</v>
      </c>
      <c r="T35" s="15">
        <v>0.04</v>
      </c>
    </row>
    <row r="36" spans="1:20">
      <c r="Q36" s="3">
        <v>33</v>
      </c>
      <c r="R36" s="15">
        <v>-0.18</v>
      </c>
      <c r="S36" s="15">
        <v>-0.38</v>
      </c>
      <c r="T36" s="15">
        <v>0.05</v>
      </c>
    </row>
    <row r="37" spans="1:20">
      <c r="A37" s="9" t="s">
        <v>60</v>
      </c>
      <c r="Q37" s="3">
        <v>34</v>
      </c>
      <c r="R37" s="15">
        <v>-0.18</v>
      </c>
      <c r="S37" s="15">
        <v>-0.39</v>
      </c>
      <c r="T37" s="15">
        <v>0.05</v>
      </c>
    </row>
    <row r="38" spans="1:20" ht="15" customHeight="1">
      <c r="Q38" s="3">
        <v>35</v>
      </c>
      <c r="R38" s="15">
        <v>-0.18</v>
      </c>
      <c r="S38" s="15">
        <v>-0.38</v>
      </c>
      <c r="T38" s="15">
        <v>0.05</v>
      </c>
    </row>
    <row r="39" spans="1:20" ht="15" customHeight="1">
      <c r="Q39" s="3">
        <v>36</v>
      </c>
      <c r="R39" s="15">
        <v>-0.17</v>
      </c>
      <c r="S39" s="15">
        <v>-0.38</v>
      </c>
      <c r="T39" s="15">
        <v>0.06</v>
      </c>
    </row>
    <row r="40" spans="1:20" ht="15" customHeight="1">
      <c r="Q40" s="3">
        <v>37</v>
      </c>
      <c r="R40" s="15">
        <v>-0.17</v>
      </c>
      <c r="S40" s="15">
        <v>-0.37</v>
      </c>
      <c r="T40" s="15">
        <v>0.06</v>
      </c>
    </row>
    <row r="41" spans="1:20" ht="15" customHeight="1">
      <c r="Q41" s="3">
        <v>38</v>
      </c>
      <c r="R41" s="15">
        <v>-0.16</v>
      </c>
      <c r="S41" s="15">
        <v>-0.37</v>
      </c>
      <c r="T41" s="15">
        <v>0.06</v>
      </c>
    </row>
    <row r="42" spans="1:20">
      <c r="Q42" s="3">
        <v>39</v>
      </c>
      <c r="R42" s="15">
        <v>-0.16</v>
      </c>
      <c r="S42" s="15">
        <v>-0.37</v>
      </c>
      <c r="T42" s="15">
        <v>7.0000000000000007E-2</v>
      </c>
    </row>
    <row r="43" spans="1:20">
      <c r="Q43" s="3">
        <v>40</v>
      </c>
      <c r="R43" s="15">
        <v>-0.16</v>
      </c>
      <c r="S43" s="15">
        <v>-0.37</v>
      </c>
      <c r="T43" s="15">
        <v>7.0000000000000007E-2</v>
      </c>
    </row>
    <row r="44" spans="1:20">
      <c r="Q44" s="3">
        <v>41</v>
      </c>
      <c r="R44" s="15">
        <v>-0.15</v>
      </c>
      <c r="S44" s="15">
        <v>-0.36</v>
      </c>
      <c r="T44" s="15">
        <v>0.08</v>
      </c>
    </row>
    <row r="45" spans="1:20">
      <c r="Q45" s="3">
        <v>42</v>
      </c>
      <c r="R45" s="15">
        <v>-0.14000000000000001</v>
      </c>
      <c r="S45" s="15">
        <v>-0.35</v>
      </c>
      <c r="T45" s="15">
        <v>0.08</v>
      </c>
    </row>
    <row r="46" spans="1:20">
      <c r="Q46" s="3">
        <v>43</v>
      </c>
      <c r="R46" s="15">
        <v>-0.14000000000000001</v>
      </c>
      <c r="S46" s="15">
        <v>-0.35</v>
      </c>
      <c r="T46" s="15">
        <v>0.09</v>
      </c>
    </row>
    <row r="47" spans="1:20">
      <c r="Q47" s="3">
        <v>44</v>
      </c>
      <c r="R47" s="15">
        <v>-0.13</v>
      </c>
      <c r="S47" s="15">
        <v>-0.34</v>
      </c>
      <c r="T47" s="15">
        <v>0.09</v>
      </c>
    </row>
    <row r="48" spans="1:20">
      <c r="Q48" s="3">
        <v>45</v>
      </c>
      <c r="R48" s="15">
        <v>-0.12</v>
      </c>
      <c r="S48" s="15">
        <v>-0.33</v>
      </c>
      <c r="T48" s="15">
        <v>0.1</v>
      </c>
    </row>
    <row r="49" spans="17:20">
      <c r="Q49" s="3">
        <v>46</v>
      </c>
      <c r="R49" s="15">
        <v>-0.12</v>
      </c>
      <c r="S49" s="15">
        <v>-0.33</v>
      </c>
      <c r="T49" s="15">
        <v>0.1</v>
      </c>
    </row>
    <row r="50" spans="17:20">
      <c r="Q50" s="3">
        <v>47</v>
      </c>
      <c r="R50" s="15">
        <v>-0.12</v>
      </c>
      <c r="S50" s="15">
        <v>-0.33</v>
      </c>
      <c r="T50" s="15">
        <v>0.1</v>
      </c>
    </row>
    <row r="51" spans="17:20">
      <c r="Q51" s="3">
        <v>48</v>
      </c>
      <c r="R51" s="15">
        <v>-0.12</v>
      </c>
      <c r="S51" s="15">
        <v>-0.33</v>
      </c>
      <c r="T51" s="15">
        <v>0.1</v>
      </c>
    </row>
    <row r="52" spans="17:20">
      <c r="Q52" s="3">
        <v>49</v>
      </c>
      <c r="R52" s="15">
        <v>-0.13</v>
      </c>
      <c r="S52" s="15">
        <v>-0.34</v>
      </c>
      <c r="T52" s="15">
        <v>0.09</v>
      </c>
    </row>
    <row r="53" spans="17:20">
      <c r="Q53" s="3">
        <v>50</v>
      </c>
      <c r="R53" s="15">
        <v>-0.13</v>
      </c>
      <c r="S53" s="15">
        <v>-0.34</v>
      </c>
      <c r="T53" s="15">
        <v>0.09</v>
      </c>
    </row>
    <row r="54" spans="17:20">
      <c r="Q54" s="3">
        <v>51</v>
      </c>
      <c r="R54" s="15">
        <v>-0.13</v>
      </c>
      <c r="S54" s="15">
        <v>-0.34</v>
      </c>
      <c r="T54" s="15">
        <v>0.09</v>
      </c>
    </row>
    <row r="55" spans="17:20">
      <c r="Q55" s="3">
        <v>52</v>
      </c>
      <c r="R55" s="15">
        <v>-0.13</v>
      </c>
      <c r="S55" s="15">
        <v>-0.34</v>
      </c>
      <c r="T55" s="15">
        <v>0.09</v>
      </c>
    </row>
    <row r="56" spans="17:20">
      <c r="Q56" s="3">
        <v>53</v>
      </c>
      <c r="R56" s="15">
        <v>-0.14000000000000001</v>
      </c>
      <c r="S56" s="15">
        <v>-0.35</v>
      </c>
      <c r="T56" s="15">
        <v>0.09</v>
      </c>
    </row>
    <row r="57" spans="17:20">
      <c r="Q57" s="3">
        <v>54</v>
      </c>
      <c r="R57" s="15">
        <v>-0.14000000000000001</v>
      </c>
      <c r="S57" s="15">
        <v>-0.35</v>
      </c>
      <c r="T57" s="15">
        <v>0.09</v>
      </c>
    </row>
    <row r="58" spans="17:20">
      <c r="Q58" s="3">
        <v>55</v>
      </c>
      <c r="R58" s="15">
        <v>-0.14000000000000001</v>
      </c>
      <c r="S58" s="15">
        <v>-0.35</v>
      </c>
      <c r="T58" s="15">
        <v>0.09</v>
      </c>
    </row>
    <row r="59" spans="17:20">
      <c r="Q59" s="3">
        <v>56</v>
      </c>
      <c r="R59" s="15">
        <v>-0.14000000000000001</v>
      </c>
      <c r="S59" s="15">
        <v>-0.35</v>
      </c>
      <c r="T59" s="15">
        <v>0.08</v>
      </c>
    </row>
    <row r="60" spans="17:20">
      <c r="Q60" s="3">
        <v>57</v>
      </c>
      <c r="R60" s="15">
        <v>-0.14000000000000001</v>
      </c>
      <c r="S60" s="15">
        <v>-0.36</v>
      </c>
      <c r="T60" s="15">
        <v>0.08</v>
      </c>
    </row>
    <row r="61" spans="17:20">
      <c r="Q61" s="3">
        <v>58</v>
      </c>
      <c r="R61" s="15">
        <v>-0.15</v>
      </c>
      <c r="S61" s="15">
        <v>-0.36</v>
      </c>
      <c r="T61" s="15">
        <v>0.08</v>
      </c>
    </row>
    <row r="62" spans="17:20">
      <c r="Q62" s="3">
        <v>59</v>
      </c>
      <c r="R62" s="15">
        <v>-0.15</v>
      </c>
      <c r="S62" s="15">
        <v>-0.37</v>
      </c>
      <c r="T62" s="15">
        <v>7.0000000000000007E-2</v>
      </c>
    </row>
    <row r="63" spans="17:20">
      <c r="Q63" s="3">
        <v>60</v>
      </c>
      <c r="R63" s="15">
        <v>-0.16</v>
      </c>
      <c r="S63" s="15">
        <v>-0.38</v>
      </c>
      <c r="T63" s="15">
        <v>7.0000000000000007E-2</v>
      </c>
    </row>
    <row r="64" spans="17:20">
      <c r="Q64" s="3">
        <v>61</v>
      </c>
      <c r="R64" s="15">
        <v>-0.17</v>
      </c>
      <c r="S64" s="15">
        <v>-0.38</v>
      </c>
      <c r="T64" s="15">
        <v>0.06</v>
      </c>
    </row>
    <row r="65" spans="17:20">
      <c r="Q65" s="3">
        <v>62</v>
      </c>
      <c r="R65" s="15">
        <v>-0.17</v>
      </c>
      <c r="S65" s="15">
        <v>-0.39</v>
      </c>
      <c r="T65" s="15">
        <v>0.06</v>
      </c>
    </row>
    <row r="66" spans="17:20">
      <c r="Q66" s="3">
        <v>63</v>
      </c>
      <c r="R66" s="15">
        <v>-0.18</v>
      </c>
      <c r="S66" s="15">
        <v>-0.39</v>
      </c>
      <c r="T66" s="15">
        <v>0.05</v>
      </c>
    </row>
    <row r="67" spans="17:20">
      <c r="Q67" s="3">
        <v>64</v>
      </c>
      <c r="R67" s="15">
        <v>-0.18</v>
      </c>
      <c r="S67" s="15">
        <v>-0.4</v>
      </c>
      <c r="T67" s="15">
        <v>0.05</v>
      </c>
    </row>
    <row r="68" spans="17:20">
      <c r="Q68" s="3">
        <v>65</v>
      </c>
      <c r="R68" s="15">
        <v>-0.19</v>
      </c>
      <c r="S68" s="15">
        <v>-0.41</v>
      </c>
      <c r="T68" s="15">
        <v>0.04</v>
      </c>
    </row>
    <row r="69" spans="17:20">
      <c r="Q69" s="3">
        <v>66</v>
      </c>
      <c r="R69" s="15">
        <v>-0.2</v>
      </c>
      <c r="S69" s="15">
        <v>-0.41</v>
      </c>
      <c r="T69" s="15">
        <v>0.04</v>
      </c>
    </row>
    <row r="70" spans="17:20">
      <c r="Q70" s="3">
        <v>67</v>
      </c>
      <c r="R70" s="15">
        <v>-0.2</v>
      </c>
      <c r="S70" s="15">
        <v>-0.42</v>
      </c>
      <c r="T70" s="15">
        <v>0.03</v>
      </c>
    </row>
    <row r="71" spans="17:20">
      <c r="Q71" s="3">
        <v>68</v>
      </c>
      <c r="R71" s="15">
        <v>-0.21</v>
      </c>
      <c r="S71" s="15">
        <v>-0.42</v>
      </c>
      <c r="T71" s="15">
        <v>0.02</v>
      </c>
    </row>
    <row r="72" spans="17:20">
      <c r="Q72" s="3">
        <v>69</v>
      </c>
      <c r="R72" s="15">
        <v>-0.21</v>
      </c>
      <c r="S72" s="15">
        <v>-0.43</v>
      </c>
      <c r="T72" s="15">
        <v>0.02</v>
      </c>
    </row>
    <row r="73" spans="17:20">
      <c r="Q73" s="3">
        <v>70</v>
      </c>
      <c r="R73" s="15">
        <v>-0.22</v>
      </c>
      <c r="S73" s="15">
        <v>-0.44</v>
      </c>
      <c r="T73" s="15">
        <v>0.01</v>
      </c>
    </row>
    <row r="74" spans="17:20">
      <c r="Q74" s="3">
        <v>71</v>
      </c>
      <c r="R74" s="15">
        <v>-0.23</v>
      </c>
      <c r="S74" s="15">
        <v>-0.45</v>
      </c>
      <c r="T74" s="15">
        <v>0</v>
      </c>
    </row>
    <row r="75" spans="17:20">
      <c r="Q75" s="3">
        <v>72</v>
      </c>
      <c r="R75" s="15">
        <v>-0.24</v>
      </c>
      <c r="S75" s="15">
        <v>-0.45</v>
      </c>
      <c r="T75" s="15">
        <v>-0.01</v>
      </c>
    </row>
  </sheetData>
  <mergeCells count="1">
    <mergeCell ref="A33:O35"/>
  </mergeCells>
  <hyperlinks>
    <hyperlink ref="A37" location="'Read Me'!A1" display="Return to Read Me" xr:uid="{CF04109D-7463-4F98-8753-B29680EDCFD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E6678-C3E9-4B90-A409-F888BCAC0655}">
  <dimension ref="A1:T75"/>
  <sheetViews>
    <sheetView zoomScale="70" zoomScaleNormal="70" workbookViewId="0">
      <selection activeCell="R2" sqref="R2"/>
    </sheetView>
  </sheetViews>
  <sheetFormatPr defaultRowHeight="14.25"/>
  <sheetData>
    <row r="1" spans="1:20" ht="25.15">
      <c r="A1" s="2" t="s">
        <v>51</v>
      </c>
    </row>
    <row r="2" spans="1:20" ht="17.25">
      <c r="Q2" s="3" t="s">
        <v>16</v>
      </c>
      <c r="R2" s="18" t="s">
        <v>74</v>
      </c>
      <c r="S2" s="3" t="s">
        <v>14</v>
      </c>
      <c r="T2" s="3" t="s">
        <v>13</v>
      </c>
    </row>
    <row r="3" spans="1:20" ht="17.25">
      <c r="Q3" s="3">
        <v>0</v>
      </c>
      <c r="R3" s="13">
        <v>-0.2</v>
      </c>
      <c r="S3" s="13">
        <v>-0.65</v>
      </c>
      <c r="T3" s="13">
        <v>0.17</v>
      </c>
    </row>
    <row r="4" spans="1:20" ht="17.25">
      <c r="Q4" s="3">
        <v>1</v>
      </c>
      <c r="R4" s="13">
        <v>-0.37</v>
      </c>
      <c r="S4" s="13">
        <v>-0.82</v>
      </c>
      <c r="T4" s="13">
        <v>0.03</v>
      </c>
    </row>
    <row r="5" spans="1:20" ht="17.25">
      <c r="Q5" s="3">
        <v>2</v>
      </c>
      <c r="R5" s="13">
        <v>-0.26</v>
      </c>
      <c r="S5" s="13">
        <v>-0.7</v>
      </c>
      <c r="T5" s="13">
        <v>0.14000000000000001</v>
      </c>
    </row>
    <row r="6" spans="1:20" ht="17.25">
      <c r="Q6" s="3">
        <v>3</v>
      </c>
      <c r="R6" s="13">
        <v>-0.32</v>
      </c>
      <c r="S6" s="13">
        <v>-0.76</v>
      </c>
      <c r="T6" s="13">
        <v>7.0000000000000007E-2</v>
      </c>
    </row>
    <row r="7" spans="1:20" ht="17.25">
      <c r="Q7" s="3">
        <v>4</v>
      </c>
      <c r="R7" s="13">
        <v>-0.53</v>
      </c>
      <c r="S7" s="13">
        <v>-0.89</v>
      </c>
      <c r="T7" s="13">
        <v>-0.21</v>
      </c>
    </row>
    <row r="8" spans="1:20" ht="17.25">
      <c r="Q8" s="3">
        <v>5</v>
      </c>
      <c r="R8" s="13">
        <v>-0.62</v>
      </c>
      <c r="S8" s="13">
        <v>-0.97</v>
      </c>
      <c r="T8" s="13">
        <v>-0.31</v>
      </c>
    </row>
    <row r="9" spans="1:20" ht="17.25">
      <c r="Q9" s="3">
        <v>6</v>
      </c>
      <c r="R9" s="13">
        <v>-0.45</v>
      </c>
      <c r="S9" s="13">
        <v>-0.84</v>
      </c>
      <c r="T9" s="13">
        <v>-0.11</v>
      </c>
    </row>
    <row r="10" spans="1:20" ht="17.25">
      <c r="Q10" s="3">
        <v>7</v>
      </c>
      <c r="R10" s="13">
        <v>-0.47</v>
      </c>
      <c r="S10" s="13">
        <v>-0.86</v>
      </c>
      <c r="T10" s="13">
        <v>-0.13</v>
      </c>
    </row>
    <row r="11" spans="1:20" ht="17.25">
      <c r="Q11" s="3">
        <v>8</v>
      </c>
      <c r="R11" s="13">
        <v>-0.46</v>
      </c>
      <c r="S11" s="13">
        <v>-0.84</v>
      </c>
      <c r="T11" s="13">
        <v>-0.13</v>
      </c>
    </row>
    <row r="12" spans="1:20" ht="17.25">
      <c r="Q12" s="3">
        <v>9</v>
      </c>
      <c r="R12" s="13">
        <v>-0.27</v>
      </c>
      <c r="S12" s="13">
        <v>-0.66</v>
      </c>
      <c r="T12" s="13">
        <v>7.0000000000000007E-2</v>
      </c>
    </row>
    <row r="13" spans="1:20" ht="17.25">
      <c r="Q13" s="3">
        <v>10</v>
      </c>
      <c r="R13" s="13">
        <v>-0.24</v>
      </c>
      <c r="S13" s="13">
        <v>-0.64</v>
      </c>
      <c r="T13" s="13">
        <v>0.11</v>
      </c>
    </row>
    <row r="14" spans="1:20" ht="17.25">
      <c r="Q14" s="3">
        <v>11</v>
      </c>
      <c r="R14" s="13">
        <v>-0.21</v>
      </c>
      <c r="S14" s="13">
        <v>-0.63</v>
      </c>
      <c r="T14" s="13">
        <v>0.16</v>
      </c>
    </row>
    <row r="15" spans="1:20" ht="17.25">
      <c r="Q15" s="3">
        <v>12</v>
      </c>
      <c r="R15" s="13">
        <v>-0.17</v>
      </c>
      <c r="S15" s="13">
        <v>-0.61</v>
      </c>
      <c r="T15" s="13">
        <v>0.21</v>
      </c>
    </row>
    <row r="16" spans="1:20" ht="17.25">
      <c r="Q16" s="3">
        <v>13</v>
      </c>
      <c r="R16" s="13">
        <v>-0.17</v>
      </c>
      <c r="S16" s="13">
        <v>-0.59</v>
      </c>
      <c r="T16" s="13">
        <v>0.21</v>
      </c>
    </row>
    <row r="17" spans="1:20" ht="17.25">
      <c r="Q17" s="3">
        <v>14</v>
      </c>
      <c r="R17" s="13">
        <v>-0.13</v>
      </c>
      <c r="S17" s="13">
        <v>-0.56000000000000005</v>
      </c>
      <c r="T17" s="13">
        <v>0.23</v>
      </c>
    </row>
    <row r="18" spans="1:20" ht="17.25">
      <c r="Q18" s="3">
        <v>15</v>
      </c>
      <c r="R18" s="13">
        <v>-0.08</v>
      </c>
      <c r="S18" s="13">
        <v>-0.5</v>
      </c>
      <c r="T18" s="13">
        <v>0.31</v>
      </c>
    </row>
    <row r="19" spans="1:20" ht="17.25">
      <c r="Q19" s="3">
        <v>16</v>
      </c>
      <c r="R19" s="13">
        <v>-0.09</v>
      </c>
      <c r="S19" s="13">
        <v>-0.53</v>
      </c>
      <c r="T19" s="13">
        <v>0.3</v>
      </c>
    </row>
    <row r="20" spans="1:20" ht="17.25">
      <c r="Q20" s="3">
        <v>17</v>
      </c>
      <c r="R20" s="13">
        <v>-0.05</v>
      </c>
      <c r="S20" s="13">
        <v>-0.47</v>
      </c>
      <c r="T20" s="13">
        <v>0.35</v>
      </c>
    </row>
    <row r="21" spans="1:20" ht="17.25">
      <c r="Q21" s="3">
        <v>18</v>
      </c>
      <c r="R21" s="13">
        <v>0.03</v>
      </c>
      <c r="S21" s="13">
        <v>-0.4</v>
      </c>
      <c r="T21" s="13">
        <v>0.45</v>
      </c>
    </row>
    <row r="22" spans="1:20" ht="17.25">
      <c r="Q22" s="3">
        <v>19</v>
      </c>
      <c r="R22" s="13">
        <v>0.04</v>
      </c>
      <c r="S22" s="13">
        <v>-0.4</v>
      </c>
      <c r="T22" s="13">
        <v>0.45</v>
      </c>
    </row>
    <row r="23" spans="1:20" ht="17.25">
      <c r="Q23" s="3">
        <v>20</v>
      </c>
      <c r="R23" s="13">
        <v>0.03</v>
      </c>
      <c r="S23" s="13">
        <v>-0.42</v>
      </c>
      <c r="T23" s="13">
        <v>0.45</v>
      </c>
    </row>
    <row r="24" spans="1:20" ht="17.25">
      <c r="Q24" s="3">
        <v>21</v>
      </c>
      <c r="R24" s="13">
        <v>7.0000000000000007E-2</v>
      </c>
      <c r="S24" s="13">
        <v>-0.38</v>
      </c>
      <c r="T24" s="13">
        <v>0.48</v>
      </c>
    </row>
    <row r="25" spans="1:20" ht="17.25">
      <c r="Q25" s="3">
        <v>22</v>
      </c>
      <c r="R25" s="13">
        <v>0.11</v>
      </c>
      <c r="S25" s="13">
        <v>-0.34</v>
      </c>
      <c r="T25" s="13">
        <v>0.53</v>
      </c>
    </row>
    <row r="26" spans="1:20" ht="17.25">
      <c r="Q26" s="3">
        <v>23</v>
      </c>
      <c r="R26" s="13">
        <v>0.14000000000000001</v>
      </c>
      <c r="S26" s="13">
        <v>-0.31</v>
      </c>
      <c r="T26" s="13">
        <v>0.56999999999999995</v>
      </c>
    </row>
    <row r="27" spans="1:20" ht="17.25">
      <c r="Q27" s="3">
        <v>24</v>
      </c>
      <c r="R27" s="13">
        <v>0.19</v>
      </c>
      <c r="S27" s="13">
        <v>-0.27</v>
      </c>
      <c r="T27" s="13">
        <v>0.62</v>
      </c>
    </row>
    <row r="28" spans="1:20" ht="17.25">
      <c r="Q28" s="3">
        <v>25</v>
      </c>
      <c r="R28" s="13">
        <v>0.23</v>
      </c>
      <c r="S28" s="13">
        <v>-0.23</v>
      </c>
      <c r="T28" s="13">
        <v>0.67</v>
      </c>
    </row>
    <row r="29" spans="1:20" ht="17.25">
      <c r="Q29" s="3">
        <v>26</v>
      </c>
      <c r="R29" s="13">
        <v>0.24</v>
      </c>
      <c r="S29" s="13">
        <v>-0.22</v>
      </c>
      <c r="T29" s="13">
        <v>0.69</v>
      </c>
    </row>
    <row r="30" spans="1:20" ht="17.25">
      <c r="Q30" s="3">
        <v>27</v>
      </c>
      <c r="R30" s="13">
        <v>0.26</v>
      </c>
      <c r="S30" s="13">
        <v>-0.21</v>
      </c>
      <c r="T30" s="13">
        <v>0.71</v>
      </c>
    </row>
    <row r="31" spans="1:20" ht="17.25">
      <c r="Q31" s="3">
        <v>28</v>
      </c>
      <c r="R31" s="13">
        <v>0.28000000000000003</v>
      </c>
      <c r="S31" s="13">
        <v>-0.19</v>
      </c>
      <c r="T31" s="13">
        <v>0.74</v>
      </c>
    </row>
    <row r="32" spans="1:20" ht="17.25">
      <c r="A32" s="3" t="s">
        <v>39</v>
      </c>
      <c r="Q32" s="3">
        <v>29</v>
      </c>
      <c r="R32" s="13">
        <v>0.28999999999999998</v>
      </c>
      <c r="S32" s="13">
        <v>-0.18</v>
      </c>
      <c r="T32" s="13">
        <v>0.74</v>
      </c>
    </row>
    <row r="33" spans="1:20" ht="18" customHeight="1">
      <c r="A33" s="21" t="s">
        <v>40</v>
      </c>
      <c r="B33" s="21"/>
      <c r="C33" s="21"/>
      <c r="D33" s="21"/>
      <c r="E33" s="21"/>
      <c r="F33" s="21"/>
      <c r="G33" s="21"/>
      <c r="H33" s="21"/>
      <c r="I33" s="21"/>
      <c r="J33" s="21"/>
      <c r="K33" s="21"/>
      <c r="L33" s="21"/>
      <c r="M33" s="21"/>
      <c r="N33" s="21"/>
      <c r="O33" s="21"/>
      <c r="Q33" s="3">
        <v>30</v>
      </c>
      <c r="R33" s="13">
        <v>0.31</v>
      </c>
      <c r="S33" s="13">
        <v>-0.15</v>
      </c>
      <c r="T33" s="13">
        <v>0.77</v>
      </c>
    </row>
    <row r="34" spans="1:20" ht="17.25">
      <c r="A34" s="21"/>
      <c r="B34" s="21"/>
      <c r="C34" s="21"/>
      <c r="D34" s="21"/>
      <c r="E34" s="21"/>
      <c r="F34" s="21"/>
      <c r="G34" s="21"/>
      <c r="H34" s="21"/>
      <c r="I34" s="21"/>
      <c r="J34" s="21"/>
      <c r="K34" s="21"/>
      <c r="L34" s="21"/>
      <c r="M34" s="21"/>
      <c r="N34" s="21"/>
      <c r="O34" s="21"/>
      <c r="Q34" s="3">
        <v>31</v>
      </c>
      <c r="R34" s="13">
        <v>0.34</v>
      </c>
      <c r="S34" s="13">
        <v>-0.13</v>
      </c>
      <c r="T34" s="13">
        <v>0.8</v>
      </c>
    </row>
    <row r="35" spans="1:20" ht="17.25">
      <c r="A35" s="6"/>
      <c r="B35" s="6"/>
      <c r="C35" s="6"/>
      <c r="D35" s="6"/>
      <c r="E35" s="6"/>
      <c r="F35" s="6"/>
      <c r="G35" s="6"/>
      <c r="H35" s="6"/>
      <c r="I35" s="6"/>
      <c r="J35" s="6"/>
      <c r="K35" s="6"/>
      <c r="L35" s="6"/>
      <c r="M35" s="6"/>
      <c r="N35" s="6"/>
      <c r="O35" s="6"/>
      <c r="Q35" s="3">
        <v>32</v>
      </c>
      <c r="R35" s="13">
        <v>0.36</v>
      </c>
      <c r="S35" s="13">
        <v>-0.11</v>
      </c>
      <c r="T35" s="13">
        <v>0.83</v>
      </c>
    </row>
    <row r="36" spans="1:20" ht="17.25">
      <c r="Q36" s="3">
        <v>33</v>
      </c>
      <c r="R36" s="13">
        <v>0.39</v>
      </c>
      <c r="S36" s="13">
        <v>-0.08</v>
      </c>
      <c r="T36" s="13">
        <v>0.86</v>
      </c>
    </row>
    <row r="37" spans="1:20" ht="17.25">
      <c r="A37" s="9" t="s">
        <v>60</v>
      </c>
      <c r="Q37" s="3">
        <v>34</v>
      </c>
      <c r="R37" s="13">
        <v>0.42</v>
      </c>
      <c r="S37" s="13">
        <v>-0.06</v>
      </c>
      <c r="T37" s="13">
        <v>0.89</v>
      </c>
    </row>
    <row r="38" spans="1:20" ht="17.25">
      <c r="Q38" s="3">
        <v>35</v>
      </c>
      <c r="R38" s="13">
        <v>0.44</v>
      </c>
      <c r="S38" s="13">
        <v>-0.04</v>
      </c>
      <c r="T38" s="13">
        <v>0.92</v>
      </c>
    </row>
    <row r="39" spans="1:20" ht="17.25">
      <c r="Q39" s="3">
        <v>36</v>
      </c>
      <c r="R39" s="13">
        <v>0.47</v>
      </c>
      <c r="S39" s="13">
        <v>-0.02</v>
      </c>
      <c r="T39" s="13">
        <v>0.94</v>
      </c>
    </row>
    <row r="40" spans="1:20" ht="17.25">
      <c r="Q40" s="3">
        <v>37</v>
      </c>
      <c r="R40" s="13">
        <v>0.49</v>
      </c>
      <c r="S40" s="13">
        <v>0.01</v>
      </c>
      <c r="T40" s="13">
        <v>0.97</v>
      </c>
    </row>
    <row r="41" spans="1:20" ht="17.25">
      <c r="Q41" s="3">
        <v>38</v>
      </c>
      <c r="R41" s="13">
        <v>0.51</v>
      </c>
      <c r="S41" s="13">
        <v>0.02</v>
      </c>
      <c r="T41" s="13">
        <v>0.99</v>
      </c>
    </row>
    <row r="42" spans="1:20" ht="17.25">
      <c r="Q42" s="3">
        <v>39</v>
      </c>
      <c r="R42" s="13">
        <v>0.53</v>
      </c>
      <c r="S42" s="13">
        <v>0.05</v>
      </c>
      <c r="T42" s="13">
        <v>1.01</v>
      </c>
    </row>
    <row r="43" spans="1:20" ht="17.25">
      <c r="Q43" s="3">
        <v>40</v>
      </c>
      <c r="R43" s="13">
        <v>0.54</v>
      </c>
      <c r="S43" s="13">
        <v>0.06</v>
      </c>
      <c r="T43" s="13">
        <v>1.02</v>
      </c>
    </row>
    <row r="44" spans="1:20" ht="17.25">
      <c r="Q44" s="3">
        <v>41</v>
      </c>
      <c r="R44" s="13">
        <v>0.56000000000000005</v>
      </c>
      <c r="S44" s="13">
        <v>7.0000000000000007E-2</v>
      </c>
      <c r="T44" s="13">
        <v>1.04</v>
      </c>
    </row>
    <row r="45" spans="1:20" ht="17.25">
      <c r="Q45" s="3">
        <v>42</v>
      </c>
      <c r="R45" s="13">
        <v>0.56999999999999995</v>
      </c>
      <c r="S45" s="13">
        <v>0.09</v>
      </c>
      <c r="T45" s="13">
        <v>1.06</v>
      </c>
    </row>
    <row r="46" spans="1:20" ht="17.25">
      <c r="Q46" s="3">
        <v>43</v>
      </c>
      <c r="R46" s="13">
        <v>0.59</v>
      </c>
      <c r="S46" s="13">
        <v>0.1</v>
      </c>
      <c r="T46" s="13">
        <v>1.07</v>
      </c>
    </row>
    <row r="47" spans="1:20" ht="17.25">
      <c r="Q47" s="3">
        <v>44</v>
      </c>
      <c r="R47" s="13">
        <v>0.6</v>
      </c>
      <c r="S47" s="13">
        <v>0.12</v>
      </c>
      <c r="T47" s="13">
        <v>1.0900000000000001</v>
      </c>
    </row>
    <row r="48" spans="1:20" ht="17.25">
      <c r="Q48" s="3">
        <v>45</v>
      </c>
      <c r="R48" s="13">
        <v>0.62</v>
      </c>
      <c r="S48" s="13">
        <v>0.13</v>
      </c>
      <c r="T48" s="13">
        <v>1.1100000000000001</v>
      </c>
    </row>
    <row r="49" spans="17:20" ht="17.25">
      <c r="Q49" s="3">
        <v>46</v>
      </c>
      <c r="R49" s="13">
        <v>0.64</v>
      </c>
      <c r="S49" s="13">
        <v>0.14000000000000001</v>
      </c>
      <c r="T49" s="13">
        <v>1.1299999999999999</v>
      </c>
    </row>
    <row r="50" spans="17:20" ht="17.25">
      <c r="Q50" s="3">
        <v>47</v>
      </c>
      <c r="R50" s="13">
        <v>0.65</v>
      </c>
      <c r="S50" s="13">
        <v>0.16</v>
      </c>
      <c r="T50" s="13">
        <v>1.1499999999999999</v>
      </c>
    </row>
    <row r="51" spans="17:20" ht="17.25">
      <c r="Q51" s="3">
        <v>48</v>
      </c>
      <c r="R51" s="13">
        <v>0.67</v>
      </c>
      <c r="S51" s="13">
        <v>0.17</v>
      </c>
      <c r="T51" s="13">
        <v>1.17</v>
      </c>
    </row>
    <row r="52" spans="17:20" ht="17.25">
      <c r="Q52" s="3">
        <v>49</v>
      </c>
      <c r="R52" s="13">
        <v>0.69</v>
      </c>
      <c r="S52" s="13">
        <v>0.19</v>
      </c>
      <c r="T52" s="13">
        <v>1.19</v>
      </c>
    </row>
    <row r="53" spans="17:20" ht="17.25">
      <c r="Q53" s="3">
        <v>50</v>
      </c>
      <c r="R53" s="13">
        <v>0.71</v>
      </c>
      <c r="S53" s="13">
        <v>0.2</v>
      </c>
      <c r="T53" s="13">
        <v>1.21</v>
      </c>
    </row>
    <row r="54" spans="17:20" ht="17.25">
      <c r="Q54" s="3">
        <v>51</v>
      </c>
      <c r="R54" s="13">
        <v>0.72</v>
      </c>
      <c r="S54" s="13">
        <v>0.22</v>
      </c>
      <c r="T54" s="13">
        <v>1.23</v>
      </c>
    </row>
    <row r="55" spans="17:20" ht="17.25">
      <c r="Q55" s="3">
        <v>52</v>
      </c>
      <c r="R55" s="13">
        <v>0.73</v>
      </c>
      <c r="S55" s="13">
        <v>0.23</v>
      </c>
      <c r="T55" s="13">
        <v>1.24</v>
      </c>
    </row>
    <row r="56" spans="17:20" ht="17.25">
      <c r="Q56" s="3">
        <v>53</v>
      </c>
      <c r="R56" s="13">
        <v>0.75</v>
      </c>
      <c r="S56" s="13">
        <v>0.24</v>
      </c>
      <c r="T56" s="13">
        <v>1.26</v>
      </c>
    </row>
    <row r="57" spans="17:20" ht="17.25">
      <c r="Q57" s="3">
        <v>54</v>
      </c>
      <c r="R57" s="13">
        <v>0.76</v>
      </c>
      <c r="S57" s="13">
        <v>0.25</v>
      </c>
      <c r="T57" s="13">
        <v>1.27</v>
      </c>
    </row>
    <row r="58" spans="17:20" ht="17.25">
      <c r="Q58" s="3">
        <v>55</v>
      </c>
      <c r="R58" s="13">
        <v>0.77</v>
      </c>
      <c r="S58" s="13">
        <v>0.26</v>
      </c>
      <c r="T58" s="13">
        <v>1.28</v>
      </c>
    </row>
    <row r="59" spans="17:20" ht="17.25">
      <c r="Q59" s="3">
        <v>56</v>
      </c>
      <c r="R59" s="13">
        <v>0.78</v>
      </c>
      <c r="S59" s="13">
        <v>0.27</v>
      </c>
      <c r="T59" s="13">
        <v>1.29</v>
      </c>
    </row>
    <row r="60" spans="17:20" ht="17.25">
      <c r="Q60" s="3">
        <v>57</v>
      </c>
      <c r="R60" s="13">
        <v>0.79</v>
      </c>
      <c r="S60" s="13">
        <v>0.28000000000000003</v>
      </c>
      <c r="T60" s="13">
        <v>1.31</v>
      </c>
    </row>
    <row r="61" spans="17:20" ht="17.25">
      <c r="Q61" s="3">
        <v>58</v>
      </c>
      <c r="R61" s="13">
        <v>0.81</v>
      </c>
      <c r="S61" s="13">
        <v>0.28999999999999998</v>
      </c>
      <c r="T61" s="13">
        <v>1.32</v>
      </c>
    </row>
    <row r="62" spans="17:20" ht="17.25">
      <c r="Q62" s="3">
        <v>59</v>
      </c>
      <c r="R62" s="13">
        <v>0.82</v>
      </c>
      <c r="S62" s="13">
        <v>0.3</v>
      </c>
      <c r="T62" s="13">
        <v>1.33</v>
      </c>
    </row>
    <row r="63" spans="17:20" ht="17.25">
      <c r="Q63" s="3">
        <v>60</v>
      </c>
      <c r="R63" s="13">
        <v>0.83</v>
      </c>
      <c r="S63" s="13">
        <v>0.31</v>
      </c>
      <c r="T63" s="13">
        <v>1.35</v>
      </c>
    </row>
    <row r="64" spans="17:20" ht="17.25">
      <c r="Q64" s="3">
        <v>61</v>
      </c>
      <c r="R64" s="13">
        <v>0.84</v>
      </c>
      <c r="S64" s="13">
        <v>0.32</v>
      </c>
      <c r="T64" s="13">
        <v>1.36</v>
      </c>
    </row>
    <row r="65" spans="17:20" ht="17.25">
      <c r="Q65" s="3">
        <v>62</v>
      </c>
      <c r="R65" s="13">
        <v>0.85</v>
      </c>
      <c r="S65" s="13">
        <v>0.33</v>
      </c>
      <c r="T65" s="13">
        <v>1.37</v>
      </c>
    </row>
    <row r="66" spans="17:20" ht="17.25">
      <c r="Q66" s="3">
        <v>63</v>
      </c>
      <c r="R66" s="13">
        <v>0.86</v>
      </c>
      <c r="S66" s="13">
        <v>0.34</v>
      </c>
      <c r="T66" s="13">
        <v>1.38</v>
      </c>
    </row>
    <row r="67" spans="17:20" ht="17.25">
      <c r="Q67" s="3">
        <v>64</v>
      </c>
      <c r="R67" s="13">
        <v>0.87</v>
      </c>
      <c r="S67" s="13">
        <v>0.35</v>
      </c>
      <c r="T67" s="13">
        <v>1.39</v>
      </c>
    </row>
    <row r="68" spans="17:20" ht="17.25">
      <c r="Q68" s="3">
        <v>65</v>
      </c>
      <c r="R68" s="13">
        <v>0.88</v>
      </c>
      <c r="S68" s="13">
        <v>0.36</v>
      </c>
      <c r="T68" s="13">
        <v>1.41</v>
      </c>
    </row>
    <row r="69" spans="17:20" ht="17.25">
      <c r="Q69" s="3">
        <v>66</v>
      </c>
      <c r="R69" s="13">
        <v>0.89</v>
      </c>
      <c r="S69" s="13">
        <v>0.36</v>
      </c>
      <c r="T69" s="13">
        <v>1.42</v>
      </c>
    </row>
    <row r="70" spans="17:20" ht="17.25">
      <c r="Q70" s="3">
        <v>67</v>
      </c>
      <c r="R70" s="13">
        <v>0.9</v>
      </c>
      <c r="S70" s="13">
        <v>0.37</v>
      </c>
      <c r="T70" s="13">
        <v>1.42</v>
      </c>
    </row>
    <row r="71" spans="17:20" ht="17.25">
      <c r="Q71" s="3">
        <v>68</v>
      </c>
      <c r="R71" s="13">
        <v>0.9</v>
      </c>
      <c r="S71" s="13">
        <v>0.37</v>
      </c>
      <c r="T71" s="13">
        <v>1.43</v>
      </c>
    </row>
    <row r="72" spans="17:20" ht="17.25">
      <c r="Q72" s="3">
        <v>69</v>
      </c>
      <c r="R72" s="13">
        <v>0.91</v>
      </c>
      <c r="S72" s="13">
        <v>0.37</v>
      </c>
      <c r="T72" s="13">
        <v>1.44</v>
      </c>
    </row>
    <row r="73" spans="17:20" ht="17.25">
      <c r="Q73" s="3">
        <v>70</v>
      </c>
      <c r="R73" s="13">
        <v>0.92</v>
      </c>
      <c r="S73" s="13">
        <v>0.38</v>
      </c>
      <c r="T73" s="13">
        <v>1.45</v>
      </c>
    </row>
    <row r="74" spans="17:20" ht="17.25">
      <c r="Q74" s="3">
        <v>71</v>
      </c>
      <c r="R74" s="13">
        <v>0.93</v>
      </c>
      <c r="S74" s="13">
        <v>0.39</v>
      </c>
      <c r="T74" s="13">
        <v>1.46</v>
      </c>
    </row>
    <row r="75" spans="17:20" ht="17.25">
      <c r="Q75" s="3">
        <v>72</v>
      </c>
      <c r="R75" s="13">
        <v>0.94</v>
      </c>
      <c r="S75" s="13">
        <v>0.39</v>
      </c>
      <c r="T75" s="13">
        <v>1.48</v>
      </c>
    </row>
  </sheetData>
  <mergeCells count="1">
    <mergeCell ref="A33:O34"/>
  </mergeCells>
  <hyperlinks>
    <hyperlink ref="A37" location="'Read Me'!A1" display="Return to Read Me" xr:uid="{2A95F886-F7EF-423E-BD47-E4DCDCD3E6C5}"/>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4D48-9C2C-4144-84CA-DFF96F7BFCEF}">
  <dimension ref="A1:S38"/>
  <sheetViews>
    <sheetView zoomScale="70" zoomScaleNormal="70" workbookViewId="0">
      <selection activeCell="X13" sqref="X13"/>
    </sheetView>
  </sheetViews>
  <sheetFormatPr defaultColWidth="9.1328125" defaultRowHeight="18"/>
  <cols>
    <col min="1" max="16" width="9.1328125" style="12"/>
    <col min="17" max="17" width="25.3984375" style="12" customWidth="1"/>
    <col min="18" max="16384" width="9.1328125" style="12"/>
  </cols>
  <sheetData>
    <row r="1" spans="1:19" s="14" customFormat="1" ht="25.5">
      <c r="A1" s="2" t="s">
        <v>52</v>
      </c>
    </row>
    <row r="2" spans="1:19">
      <c r="Q2" s="3"/>
      <c r="S2" s="3" t="s">
        <v>17</v>
      </c>
    </row>
    <row r="3" spans="1:19">
      <c r="Q3" s="3" t="s">
        <v>20</v>
      </c>
      <c r="R3" s="3">
        <v>12.9</v>
      </c>
      <c r="S3" s="3">
        <v>11.5</v>
      </c>
    </row>
    <row r="4" spans="1:19">
      <c r="Q4" s="3" t="s">
        <v>19</v>
      </c>
      <c r="R4" s="3">
        <v>10.3</v>
      </c>
      <c r="S4" s="3">
        <v>11.5</v>
      </c>
    </row>
    <row r="5" spans="1:19">
      <c r="Q5" s="3" t="s">
        <v>18</v>
      </c>
      <c r="R5" s="3">
        <v>15.3</v>
      </c>
      <c r="S5" s="3">
        <v>11.5</v>
      </c>
    </row>
    <row r="6" spans="1:19">
      <c r="Q6" s="3" t="s">
        <v>17</v>
      </c>
      <c r="R6" s="3"/>
      <c r="S6" s="3"/>
    </row>
    <row r="33" spans="1:15">
      <c r="A33" s="18" t="s">
        <v>73</v>
      </c>
    </row>
    <row r="34" spans="1:15" ht="18.75" customHeight="1">
      <c r="A34" s="21" t="s">
        <v>41</v>
      </c>
      <c r="B34" s="21"/>
      <c r="C34" s="21"/>
      <c r="D34" s="21"/>
      <c r="E34" s="21"/>
      <c r="F34" s="21"/>
      <c r="G34" s="21"/>
      <c r="H34" s="21"/>
      <c r="I34" s="21"/>
      <c r="J34" s="21"/>
      <c r="K34" s="21"/>
      <c r="L34" s="21"/>
      <c r="M34" s="21"/>
      <c r="N34" s="21"/>
      <c r="O34" s="21"/>
    </row>
    <row r="35" spans="1:15">
      <c r="A35" s="21"/>
      <c r="B35" s="21"/>
      <c r="C35" s="21"/>
      <c r="D35" s="21"/>
      <c r="E35" s="21"/>
      <c r="F35" s="21"/>
      <c r="G35" s="21"/>
      <c r="H35" s="21"/>
      <c r="I35" s="21"/>
      <c r="J35" s="21"/>
      <c r="K35" s="21"/>
      <c r="L35" s="21"/>
      <c r="M35" s="21"/>
      <c r="N35" s="21"/>
      <c r="O35" s="21"/>
    </row>
    <row r="36" spans="1:15">
      <c r="A36" s="21"/>
      <c r="B36" s="21"/>
      <c r="C36" s="21"/>
      <c r="D36" s="21"/>
      <c r="E36" s="21"/>
      <c r="F36" s="21"/>
      <c r="G36" s="21"/>
      <c r="H36" s="21"/>
      <c r="I36" s="21"/>
      <c r="J36" s="21"/>
      <c r="K36" s="21"/>
      <c r="L36" s="21"/>
      <c r="M36" s="21"/>
      <c r="N36" s="21"/>
      <c r="O36" s="21"/>
    </row>
    <row r="37" spans="1:15">
      <c r="A37" s="6"/>
      <c r="B37" s="6"/>
      <c r="C37" s="6"/>
      <c r="D37" s="6"/>
      <c r="E37" s="6"/>
      <c r="F37" s="6"/>
      <c r="G37" s="6"/>
      <c r="H37" s="6"/>
      <c r="I37" s="6"/>
      <c r="J37" s="6"/>
      <c r="K37" s="6"/>
      <c r="L37" s="6"/>
      <c r="M37" s="6"/>
      <c r="N37" s="6"/>
      <c r="O37" s="6"/>
    </row>
    <row r="38" spans="1:15">
      <c r="A38" s="9" t="s">
        <v>60</v>
      </c>
    </row>
  </sheetData>
  <mergeCells count="1">
    <mergeCell ref="A34:O36"/>
  </mergeCells>
  <hyperlinks>
    <hyperlink ref="A38" location="'Read Me'!A1" display="Return to Read Me" xr:uid="{40335BC9-1FC8-4872-BC6B-17934EBCE1F8}"/>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0DAA-954E-45FC-A636-A2EF81250A1D}">
  <dimension ref="A1:W40"/>
  <sheetViews>
    <sheetView zoomScale="70" zoomScaleNormal="70" workbookViewId="0"/>
  </sheetViews>
  <sheetFormatPr defaultColWidth="9.1328125" defaultRowHeight="18"/>
  <cols>
    <col min="1" max="19" width="9.1328125" style="12"/>
    <col min="20" max="20" width="26.1328125" style="12" customWidth="1"/>
    <col min="21" max="16384" width="9.1328125" style="12"/>
  </cols>
  <sheetData>
    <row r="1" spans="1:23" s="14" customFormat="1" ht="25.5">
      <c r="A1" s="2" t="s">
        <v>53</v>
      </c>
    </row>
    <row r="2" spans="1:23">
      <c r="T2" s="3" t="s">
        <v>61</v>
      </c>
      <c r="U2" s="18" t="s">
        <v>71</v>
      </c>
      <c r="V2" s="18" t="s">
        <v>72</v>
      </c>
      <c r="W2" s="3"/>
    </row>
    <row r="3" spans="1:23">
      <c r="T3" s="3" t="s">
        <v>21</v>
      </c>
      <c r="U3" s="3">
        <v>7.1</v>
      </c>
      <c r="V3" s="3">
        <v>2.1</v>
      </c>
      <c r="W3" s="3"/>
    </row>
    <row r="4" spans="1:23">
      <c r="T4" s="3" t="s">
        <v>22</v>
      </c>
      <c r="U4" s="3">
        <v>6.5</v>
      </c>
      <c r="V4" s="3">
        <v>1.4</v>
      </c>
      <c r="W4" s="3"/>
    </row>
    <row r="5" spans="1:23">
      <c r="T5" s="3" t="s">
        <v>23</v>
      </c>
      <c r="U5" s="3">
        <v>5.4</v>
      </c>
      <c r="V5" s="3">
        <v>2.2999999999999998</v>
      </c>
      <c r="W5" s="3"/>
    </row>
    <row r="6" spans="1:23">
      <c r="T6" s="3" t="s">
        <v>24</v>
      </c>
      <c r="U6" s="3">
        <v>2.1</v>
      </c>
      <c r="V6" s="3">
        <v>1.4</v>
      </c>
      <c r="W6" s="3"/>
    </row>
    <row r="7" spans="1:23">
      <c r="T7" s="3" t="s">
        <v>25</v>
      </c>
      <c r="U7" s="3">
        <v>1.8</v>
      </c>
      <c r="V7" s="3">
        <v>1.6</v>
      </c>
      <c r="W7" s="3"/>
    </row>
    <row r="8" spans="1:23">
      <c r="T8" s="3" t="s">
        <v>26</v>
      </c>
      <c r="U8" s="3">
        <v>1.8</v>
      </c>
      <c r="V8" s="3">
        <v>1.1000000000000001</v>
      </c>
      <c r="W8" s="3"/>
    </row>
    <row r="9" spans="1:23">
      <c r="T9" s="3" t="s">
        <v>27</v>
      </c>
      <c r="U9" s="3">
        <v>1.5</v>
      </c>
      <c r="V9" s="3">
        <v>1.7</v>
      </c>
      <c r="W9" s="3"/>
    </row>
    <row r="10" spans="1:23">
      <c r="T10" s="3"/>
      <c r="U10" s="3"/>
      <c r="V10" s="3"/>
      <c r="W10" s="3"/>
    </row>
    <row r="11" spans="1:23">
      <c r="T11" s="3"/>
      <c r="U11" s="3"/>
      <c r="V11" s="3"/>
      <c r="W11" s="3"/>
    </row>
    <row r="12" spans="1:23">
      <c r="T12" s="3"/>
      <c r="U12" s="3"/>
      <c r="V12" s="3"/>
      <c r="W12" s="3"/>
    </row>
    <row r="31" spans="1:1" ht="18" customHeight="1"/>
    <row r="32" spans="1:1">
      <c r="A32" s="3" t="s">
        <v>42</v>
      </c>
    </row>
    <row r="33" spans="1:15">
      <c r="A33" s="20" t="s">
        <v>43</v>
      </c>
      <c r="B33" s="20"/>
      <c r="C33" s="20"/>
      <c r="D33" s="20"/>
      <c r="E33" s="20"/>
      <c r="F33" s="20"/>
      <c r="G33" s="20"/>
      <c r="H33" s="20"/>
      <c r="I33" s="20"/>
      <c r="J33" s="20"/>
      <c r="K33" s="20"/>
      <c r="L33" s="20"/>
      <c r="M33" s="20"/>
      <c r="N33" s="20"/>
      <c r="O33" s="20"/>
    </row>
    <row r="34" spans="1:15">
      <c r="A34" s="20"/>
      <c r="B34" s="20"/>
      <c r="C34" s="20"/>
      <c r="D34" s="20"/>
      <c r="E34" s="20"/>
      <c r="F34" s="20"/>
      <c r="G34" s="20"/>
      <c r="H34" s="20"/>
      <c r="I34" s="20"/>
      <c r="J34" s="20"/>
      <c r="K34" s="20"/>
      <c r="L34" s="20"/>
      <c r="M34" s="20"/>
      <c r="N34" s="20"/>
      <c r="O34" s="20"/>
    </row>
    <row r="35" spans="1:15">
      <c r="A35" s="20"/>
      <c r="B35" s="20"/>
      <c r="C35" s="20"/>
      <c r="D35" s="20"/>
      <c r="E35" s="20"/>
      <c r="F35" s="20"/>
      <c r="G35" s="20"/>
      <c r="H35" s="20"/>
      <c r="I35" s="20"/>
      <c r="J35" s="20"/>
      <c r="K35" s="20"/>
      <c r="L35" s="20"/>
      <c r="M35" s="20"/>
      <c r="N35" s="20"/>
      <c r="O35" s="20"/>
    </row>
    <row r="36" spans="1:15">
      <c r="A36" s="20"/>
      <c r="B36" s="20"/>
      <c r="C36" s="20"/>
      <c r="D36" s="20"/>
      <c r="E36" s="20"/>
      <c r="F36" s="20"/>
      <c r="G36" s="20"/>
      <c r="H36" s="20"/>
      <c r="I36" s="20"/>
      <c r="J36" s="20"/>
      <c r="K36" s="20"/>
      <c r="L36" s="20"/>
      <c r="M36" s="20"/>
      <c r="N36" s="20"/>
      <c r="O36" s="20"/>
    </row>
    <row r="37" spans="1:15">
      <c r="A37" s="20"/>
      <c r="B37" s="20"/>
      <c r="C37" s="20"/>
      <c r="D37" s="20"/>
      <c r="E37" s="20"/>
      <c r="F37" s="20"/>
      <c r="G37" s="20"/>
      <c r="H37" s="20"/>
      <c r="I37" s="20"/>
      <c r="J37" s="20"/>
      <c r="K37" s="20"/>
      <c r="L37" s="20"/>
      <c r="M37" s="20"/>
      <c r="N37" s="20"/>
      <c r="O37" s="20"/>
    </row>
    <row r="38" spans="1:15">
      <c r="A38" s="6"/>
      <c r="B38" s="6"/>
      <c r="C38" s="6"/>
      <c r="D38" s="6"/>
      <c r="E38" s="6"/>
      <c r="F38" s="6"/>
      <c r="G38" s="6"/>
      <c r="H38" s="6"/>
      <c r="I38" s="6"/>
      <c r="J38" s="6"/>
      <c r="K38" s="6"/>
      <c r="L38" s="6"/>
      <c r="M38" s="6"/>
      <c r="N38" s="6"/>
      <c r="O38" s="6"/>
    </row>
    <row r="39" spans="1:15">
      <c r="A39" s="6"/>
      <c r="B39" s="6"/>
      <c r="C39" s="6"/>
      <c r="D39" s="6"/>
      <c r="E39" s="6"/>
      <c r="F39" s="6"/>
      <c r="G39" s="6"/>
      <c r="H39" s="6"/>
      <c r="I39" s="6"/>
      <c r="J39" s="6"/>
      <c r="K39" s="6"/>
      <c r="L39" s="6"/>
      <c r="M39" s="6"/>
      <c r="N39" s="6"/>
      <c r="O39" s="6"/>
    </row>
    <row r="40" spans="1:15">
      <c r="A40" s="9" t="s">
        <v>60</v>
      </c>
    </row>
  </sheetData>
  <mergeCells count="1">
    <mergeCell ref="A33:O37"/>
  </mergeCells>
  <hyperlinks>
    <hyperlink ref="A40" location="'Read Me'!A1" display="Return to Read Me" xr:uid="{90A2E3FF-F949-4FEB-9219-9F1D09A2E36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3E42-5C1A-4F1E-9D13-1CFDC729005F}">
  <dimension ref="A1:S41"/>
  <sheetViews>
    <sheetView zoomScale="70" zoomScaleNormal="70" workbookViewId="0"/>
  </sheetViews>
  <sheetFormatPr defaultColWidth="9.1328125" defaultRowHeight="17.25"/>
  <cols>
    <col min="1" max="16" width="9.1328125" style="3"/>
    <col min="17" max="17" width="24" style="3" customWidth="1"/>
    <col min="18" max="16384" width="9.1328125" style="3"/>
  </cols>
  <sheetData>
    <row r="1" spans="1:19" s="1" customFormat="1" ht="25.15">
      <c r="A1" s="2" t="s">
        <v>54</v>
      </c>
    </row>
    <row r="2" spans="1:19">
      <c r="Q2" s="3" t="s">
        <v>62</v>
      </c>
      <c r="R2" s="18" t="s">
        <v>71</v>
      </c>
      <c r="S2" s="18" t="s">
        <v>72</v>
      </c>
    </row>
    <row r="3" spans="1:19">
      <c r="Q3" s="3" t="s">
        <v>28</v>
      </c>
      <c r="R3" s="3">
        <v>9.1</v>
      </c>
      <c r="S3" s="3">
        <v>3.3</v>
      </c>
    </row>
    <row r="4" spans="1:19">
      <c r="Q4" s="3" t="s">
        <v>29</v>
      </c>
      <c r="R4" s="3">
        <v>7</v>
      </c>
      <c r="S4" s="3">
        <v>2.9</v>
      </c>
    </row>
    <row r="5" spans="1:19">
      <c r="Q5" s="3" t="s">
        <v>30</v>
      </c>
      <c r="R5" s="3">
        <v>2.4</v>
      </c>
      <c r="S5" s="3">
        <v>1.6</v>
      </c>
    </row>
    <row r="6" spans="1:19">
      <c r="Q6" s="3" t="s">
        <v>31</v>
      </c>
      <c r="R6" s="3">
        <v>2.4</v>
      </c>
      <c r="S6" s="3">
        <v>1.9</v>
      </c>
    </row>
    <row r="7" spans="1:19">
      <c r="Q7" s="3" t="s">
        <v>32</v>
      </c>
      <c r="R7" s="3">
        <v>2</v>
      </c>
      <c r="S7" s="3">
        <v>1.1000000000000001</v>
      </c>
    </row>
    <row r="8" spans="1:19">
      <c r="Q8" s="3" t="s">
        <v>33</v>
      </c>
      <c r="R8" s="3">
        <v>1.6</v>
      </c>
      <c r="S8" s="3">
        <v>1.4</v>
      </c>
    </row>
    <row r="33" spans="1:15">
      <c r="A33" s="3" t="s">
        <v>42</v>
      </c>
    </row>
    <row r="34" spans="1:15" ht="18" customHeight="1">
      <c r="A34" s="21" t="s">
        <v>43</v>
      </c>
      <c r="B34" s="21"/>
      <c r="C34" s="21"/>
      <c r="D34" s="21"/>
      <c r="E34" s="21"/>
      <c r="F34" s="21"/>
      <c r="G34" s="21"/>
      <c r="H34" s="21"/>
      <c r="I34" s="21"/>
      <c r="J34" s="21"/>
      <c r="K34" s="21"/>
      <c r="L34" s="21"/>
      <c r="M34" s="21"/>
      <c r="N34" s="21"/>
      <c r="O34" s="21"/>
    </row>
    <row r="35" spans="1:15">
      <c r="A35" s="21"/>
      <c r="B35" s="21"/>
      <c r="C35" s="21"/>
      <c r="D35" s="21"/>
      <c r="E35" s="21"/>
      <c r="F35" s="21"/>
      <c r="G35" s="21"/>
      <c r="H35" s="21"/>
      <c r="I35" s="21"/>
      <c r="J35" s="21"/>
      <c r="K35" s="21"/>
      <c r="L35" s="21"/>
      <c r="M35" s="21"/>
      <c r="N35" s="21"/>
      <c r="O35" s="21"/>
    </row>
    <row r="36" spans="1:15">
      <c r="A36" s="21"/>
      <c r="B36" s="21"/>
      <c r="C36" s="21"/>
      <c r="D36" s="21"/>
      <c r="E36" s="21"/>
      <c r="F36" s="21"/>
      <c r="G36" s="21"/>
      <c r="H36" s="21"/>
      <c r="I36" s="21"/>
      <c r="J36" s="21"/>
      <c r="K36" s="21"/>
      <c r="L36" s="21"/>
      <c r="M36" s="21"/>
      <c r="N36" s="21"/>
      <c r="O36" s="21"/>
    </row>
    <row r="37" spans="1:15">
      <c r="A37" s="21"/>
      <c r="B37" s="21"/>
      <c r="C37" s="21"/>
      <c r="D37" s="21"/>
      <c r="E37" s="21"/>
      <c r="F37" s="21"/>
      <c r="G37" s="21"/>
      <c r="H37" s="21"/>
      <c r="I37" s="21"/>
      <c r="J37" s="21"/>
      <c r="K37" s="21"/>
      <c r="L37" s="21"/>
      <c r="M37" s="21"/>
      <c r="N37" s="21"/>
      <c r="O37" s="21"/>
    </row>
    <row r="38" spans="1:15">
      <c r="A38" s="21"/>
      <c r="B38" s="21"/>
      <c r="C38" s="21"/>
      <c r="D38" s="21"/>
      <c r="E38" s="21"/>
      <c r="F38" s="21"/>
      <c r="G38" s="21"/>
      <c r="H38" s="21"/>
      <c r="I38" s="21"/>
      <c r="J38" s="21"/>
      <c r="K38" s="21"/>
      <c r="L38" s="21"/>
      <c r="M38" s="21"/>
      <c r="N38" s="21"/>
      <c r="O38" s="21"/>
    </row>
    <row r="41" spans="1:15">
      <c r="A41" s="9" t="s">
        <v>60</v>
      </c>
    </row>
  </sheetData>
  <mergeCells count="1">
    <mergeCell ref="A34:O38"/>
  </mergeCells>
  <hyperlinks>
    <hyperlink ref="A41" location="'Read Me'!A1" display="Return to Read Me" xr:uid="{A00DA557-8329-4B8E-A355-2C1E9587F46C}"/>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B4A5-9229-407C-B218-4232D22EE8A9}">
  <dimension ref="A1:T38"/>
  <sheetViews>
    <sheetView zoomScale="70" zoomScaleNormal="70" workbookViewId="0"/>
  </sheetViews>
  <sheetFormatPr defaultColWidth="9.1328125" defaultRowHeight="18"/>
  <cols>
    <col min="1" max="16384" width="9.1328125" style="12"/>
  </cols>
  <sheetData>
    <row r="1" spans="1:20" ht="25.15">
      <c r="A1" s="2" t="s">
        <v>55</v>
      </c>
    </row>
    <row r="2" spans="1:20">
      <c r="Q2" s="3" t="s">
        <v>16</v>
      </c>
      <c r="R2" s="3" t="s">
        <v>23</v>
      </c>
      <c r="S2" s="3" t="s">
        <v>14</v>
      </c>
      <c r="T2" s="3" t="s">
        <v>13</v>
      </c>
    </row>
    <row r="3" spans="1:20">
      <c r="Q3" s="3">
        <v>0</v>
      </c>
      <c r="R3" s="15">
        <v>1.9</v>
      </c>
      <c r="S3" s="15">
        <v>-0.37</v>
      </c>
      <c r="T3" s="15">
        <v>4.17</v>
      </c>
    </row>
    <row r="4" spans="1:20">
      <c r="Q4" s="3">
        <v>1</v>
      </c>
      <c r="R4" s="15">
        <v>3</v>
      </c>
      <c r="S4" s="15">
        <v>0.73</v>
      </c>
      <c r="T4" s="15">
        <v>5.27</v>
      </c>
    </row>
    <row r="5" spans="1:20">
      <c r="Q5" s="3">
        <v>2</v>
      </c>
      <c r="R5" s="15">
        <v>3.78</v>
      </c>
      <c r="S5" s="15">
        <v>1.51</v>
      </c>
      <c r="T5" s="15">
        <v>6.05</v>
      </c>
    </row>
    <row r="6" spans="1:20">
      <c r="Q6" s="3">
        <v>3</v>
      </c>
      <c r="R6" s="15">
        <v>3.34</v>
      </c>
      <c r="S6" s="15">
        <v>1.07</v>
      </c>
      <c r="T6" s="15">
        <v>5.61</v>
      </c>
    </row>
    <row r="7" spans="1:20">
      <c r="Q7" s="3">
        <v>4</v>
      </c>
      <c r="R7" s="15">
        <v>3.52</v>
      </c>
      <c r="S7" s="15">
        <v>1.25</v>
      </c>
      <c r="T7" s="15">
        <v>5.79</v>
      </c>
    </row>
    <row r="8" spans="1:20">
      <c r="Q8" s="3">
        <v>5</v>
      </c>
      <c r="R8" s="15">
        <v>3.77</v>
      </c>
      <c r="S8" s="15">
        <v>1.5</v>
      </c>
      <c r="T8" s="15">
        <v>6.04</v>
      </c>
    </row>
    <row r="9" spans="1:20">
      <c r="Q9" s="3">
        <v>6</v>
      </c>
      <c r="R9" s="15">
        <v>4.4400000000000004</v>
      </c>
      <c r="S9" s="15">
        <v>2.17</v>
      </c>
      <c r="T9" s="15">
        <v>6.72</v>
      </c>
    </row>
    <row r="10" spans="1:20">
      <c r="Q10" s="3">
        <v>7</v>
      </c>
      <c r="R10" s="15">
        <v>4.43</v>
      </c>
      <c r="S10" s="15">
        <v>2.15</v>
      </c>
      <c r="T10" s="15">
        <v>6.7</v>
      </c>
    </row>
    <row r="11" spans="1:20">
      <c r="Q11" s="3">
        <v>8</v>
      </c>
      <c r="R11" s="15">
        <v>4.2</v>
      </c>
      <c r="S11" s="15">
        <v>1.93</v>
      </c>
      <c r="T11" s="15">
        <v>6.47</v>
      </c>
    </row>
    <row r="12" spans="1:20">
      <c r="Q12" s="3">
        <v>9</v>
      </c>
      <c r="R12" s="15">
        <v>4.9400000000000004</v>
      </c>
      <c r="S12" s="15">
        <v>2.67</v>
      </c>
      <c r="T12" s="15">
        <v>7.22</v>
      </c>
    </row>
    <row r="13" spans="1:20">
      <c r="Q13" s="3">
        <v>10</v>
      </c>
      <c r="R13" s="15">
        <v>4.9400000000000004</v>
      </c>
      <c r="S13" s="15">
        <v>2.67</v>
      </c>
      <c r="T13" s="15">
        <v>7.21</v>
      </c>
    </row>
    <row r="14" spans="1:20">
      <c r="Q14" s="3">
        <v>11</v>
      </c>
      <c r="R14" s="15">
        <v>5.41</v>
      </c>
      <c r="S14" s="15">
        <v>3.13</v>
      </c>
      <c r="T14" s="15">
        <v>7.68</v>
      </c>
    </row>
    <row r="15" spans="1:20">
      <c r="Q15" s="3">
        <v>12</v>
      </c>
      <c r="R15" s="15">
        <v>4.88</v>
      </c>
      <c r="S15" s="15">
        <v>2.61</v>
      </c>
      <c r="T15" s="15">
        <v>7.15</v>
      </c>
    </row>
    <row r="16" spans="1:20">
      <c r="Q16" s="3">
        <v>13</v>
      </c>
      <c r="R16" s="15">
        <v>4.57</v>
      </c>
      <c r="S16" s="15">
        <v>2.29</v>
      </c>
      <c r="T16" s="15">
        <v>6.84</v>
      </c>
    </row>
    <row r="17" spans="17:20">
      <c r="Q17" s="3">
        <v>14</v>
      </c>
      <c r="R17" s="15">
        <v>3.36</v>
      </c>
      <c r="S17" s="15">
        <v>1.0900000000000001</v>
      </c>
      <c r="T17" s="15">
        <v>5.63</v>
      </c>
    </row>
    <row r="18" spans="17:20">
      <c r="Q18" s="3">
        <v>15</v>
      </c>
      <c r="R18" s="15">
        <v>3.1</v>
      </c>
      <c r="S18" s="15">
        <v>0.83</v>
      </c>
      <c r="T18" s="15">
        <v>5.37</v>
      </c>
    </row>
    <row r="19" spans="17:20">
      <c r="Q19" s="3">
        <v>16</v>
      </c>
      <c r="R19" s="15">
        <v>2.37</v>
      </c>
      <c r="S19" s="15">
        <v>0.1</v>
      </c>
      <c r="T19" s="15">
        <v>4.6399999999999997</v>
      </c>
    </row>
    <row r="20" spans="17:20">
      <c r="Q20" s="3">
        <v>17</v>
      </c>
      <c r="R20" s="15">
        <v>2.42</v>
      </c>
      <c r="S20" s="15">
        <v>0.15</v>
      </c>
      <c r="T20" s="15">
        <v>4.6900000000000004</v>
      </c>
    </row>
    <row r="21" spans="17:20">
      <c r="Q21" s="3">
        <v>18</v>
      </c>
      <c r="R21" s="15">
        <v>2.76</v>
      </c>
      <c r="S21" s="15">
        <v>0.49</v>
      </c>
      <c r="T21" s="15">
        <v>5.04</v>
      </c>
    </row>
    <row r="22" spans="17:20">
      <c r="Q22" s="3">
        <v>19</v>
      </c>
      <c r="R22" s="15">
        <v>2.41</v>
      </c>
      <c r="S22" s="15">
        <v>0.14000000000000001</v>
      </c>
      <c r="T22" s="15">
        <v>4.68</v>
      </c>
    </row>
    <row r="23" spans="17:20">
      <c r="Q23" s="3">
        <v>20</v>
      </c>
      <c r="R23" s="15">
        <v>1.41</v>
      </c>
      <c r="S23" s="15">
        <v>-0.86</v>
      </c>
      <c r="T23" s="15">
        <v>3.68</v>
      </c>
    </row>
    <row r="24" spans="17:20">
      <c r="Q24" s="3">
        <v>21</v>
      </c>
      <c r="R24" s="15">
        <v>1.31</v>
      </c>
      <c r="S24" s="15">
        <v>-0.96</v>
      </c>
      <c r="T24" s="15">
        <v>3.58</v>
      </c>
    </row>
    <row r="25" spans="17:20">
      <c r="Q25" s="3">
        <v>22</v>
      </c>
      <c r="R25" s="15">
        <v>2.4700000000000002</v>
      </c>
      <c r="S25" s="15">
        <v>0.2</v>
      </c>
      <c r="T25" s="15">
        <v>4.74</v>
      </c>
    </row>
    <row r="26" spans="17:20">
      <c r="Q26" s="3">
        <v>23</v>
      </c>
      <c r="R26" s="15">
        <v>2.71</v>
      </c>
      <c r="S26" s="15">
        <v>0.44</v>
      </c>
      <c r="T26" s="15">
        <v>4.99</v>
      </c>
    </row>
    <row r="27" spans="17:20">
      <c r="Q27" s="3">
        <v>24</v>
      </c>
      <c r="R27" s="15">
        <v>2.29</v>
      </c>
      <c r="S27" s="15">
        <v>0.02</v>
      </c>
      <c r="T27" s="15">
        <v>4.57</v>
      </c>
    </row>
    <row r="31" spans="17:20" ht="18" customHeight="1"/>
    <row r="34" spans="1:15">
      <c r="A34" s="3" t="s">
        <v>42</v>
      </c>
    </row>
    <row r="35" spans="1:15">
      <c r="A35" s="21" t="s">
        <v>44</v>
      </c>
      <c r="B35" s="21"/>
      <c r="C35" s="21"/>
      <c r="D35" s="21"/>
      <c r="E35" s="21"/>
      <c r="F35" s="21"/>
      <c r="G35" s="21"/>
      <c r="H35" s="21"/>
      <c r="I35" s="21"/>
      <c r="J35" s="21"/>
      <c r="K35" s="21"/>
      <c r="L35" s="21"/>
      <c r="M35" s="21"/>
      <c r="N35" s="21"/>
      <c r="O35" s="21"/>
    </row>
    <row r="36" spans="1:15">
      <c r="A36" s="21"/>
      <c r="B36" s="21"/>
      <c r="C36" s="21"/>
      <c r="D36" s="21"/>
      <c r="E36" s="21"/>
      <c r="F36" s="21"/>
      <c r="G36" s="21"/>
      <c r="H36" s="21"/>
      <c r="I36" s="21"/>
      <c r="J36" s="21"/>
      <c r="K36" s="21"/>
      <c r="L36" s="21"/>
      <c r="M36" s="21"/>
      <c r="N36" s="21"/>
      <c r="O36" s="21"/>
    </row>
    <row r="38" spans="1:15">
      <c r="A38" s="9" t="s">
        <v>60</v>
      </c>
    </row>
  </sheetData>
  <mergeCells count="1">
    <mergeCell ref="A35:O36"/>
  </mergeCells>
  <hyperlinks>
    <hyperlink ref="A38" location="'Read Me'!A1" display="Return to Read Me" xr:uid="{4DCD851A-3FE3-4EE0-9531-C48DFD24F2ED}"/>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ACFA6-4D62-47FC-80B3-0140D17B06F3}">
  <dimension ref="A1:T37"/>
  <sheetViews>
    <sheetView zoomScale="70" zoomScaleNormal="70" workbookViewId="0"/>
  </sheetViews>
  <sheetFormatPr defaultColWidth="9.1328125" defaultRowHeight="17.25"/>
  <cols>
    <col min="1" max="16384" width="9.1328125" style="3"/>
  </cols>
  <sheetData>
    <row r="1" spans="1:20" ht="25.15">
      <c r="A1" s="2" t="s">
        <v>56</v>
      </c>
    </row>
    <row r="2" spans="1:20">
      <c r="Q2" s="3" t="s">
        <v>16</v>
      </c>
      <c r="R2" s="3" t="s">
        <v>34</v>
      </c>
      <c r="S2" s="3" t="s">
        <v>14</v>
      </c>
      <c r="T2" s="3" t="s">
        <v>13</v>
      </c>
    </row>
    <row r="3" spans="1:20">
      <c r="Q3" s="3">
        <v>0</v>
      </c>
      <c r="R3" s="15">
        <v>1.41</v>
      </c>
      <c r="S3" s="15">
        <v>-1.34</v>
      </c>
      <c r="T3" s="15">
        <v>4.16</v>
      </c>
    </row>
    <row r="4" spans="1:20">
      <c r="Q4" s="3">
        <v>1</v>
      </c>
      <c r="R4" s="15">
        <v>1.89</v>
      </c>
      <c r="S4" s="15">
        <v>-0.86</v>
      </c>
      <c r="T4" s="15">
        <v>4.6399999999999997</v>
      </c>
    </row>
    <row r="5" spans="1:20">
      <c r="Q5" s="3">
        <v>2</v>
      </c>
      <c r="R5" s="15">
        <v>3.03</v>
      </c>
      <c r="S5" s="15">
        <v>0.28000000000000003</v>
      </c>
      <c r="T5" s="15">
        <v>5.77</v>
      </c>
    </row>
    <row r="6" spans="1:20">
      <c r="Q6" s="3">
        <v>3</v>
      </c>
      <c r="R6" s="15">
        <v>3.75</v>
      </c>
      <c r="S6" s="15">
        <v>1</v>
      </c>
      <c r="T6" s="15">
        <v>6.5</v>
      </c>
    </row>
    <row r="7" spans="1:20">
      <c r="Q7" s="3">
        <v>4</v>
      </c>
      <c r="R7" s="15">
        <v>4.17</v>
      </c>
      <c r="S7" s="15">
        <v>1.43</v>
      </c>
      <c r="T7" s="15">
        <v>6.92</v>
      </c>
    </row>
    <row r="8" spans="1:20">
      <c r="Q8" s="3">
        <v>5</v>
      </c>
      <c r="R8" s="15">
        <v>3.97</v>
      </c>
      <c r="S8" s="15">
        <v>1.22</v>
      </c>
      <c r="T8" s="15">
        <v>6.72</v>
      </c>
    </row>
    <row r="9" spans="1:20">
      <c r="Q9" s="3">
        <v>6</v>
      </c>
      <c r="R9" s="15">
        <v>4.59</v>
      </c>
      <c r="S9" s="15">
        <v>1.84</v>
      </c>
      <c r="T9" s="15">
        <v>7.34</v>
      </c>
    </row>
    <row r="10" spans="1:20">
      <c r="Q10" s="3">
        <v>7</v>
      </c>
      <c r="R10" s="15">
        <v>5.83</v>
      </c>
      <c r="S10" s="15">
        <v>3.09</v>
      </c>
      <c r="T10" s="15">
        <v>8.58</v>
      </c>
    </row>
    <row r="11" spans="1:20">
      <c r="Q11" s="3">
        <v>8</v>
      </c>
      <c r="R11" s="15">
        <v>5.97</v>
      </c>
      <c r="S11" s="15">
        <v>3.22</v>
      </c>
      <c r="T11" s="15">
        <v>8.7200000000000006</v>
      </c>
    </row>
    <row r="12" spans="1:20">
      <c r="Q12" s="3">
        <v>9</v>
      </c>
      <c r="R12" s="15">
        <v>6.9</v>
      </c>
      <c r="S12" s="15">
        <v>4.1500000000000004</v>
      </c>
      <c r="T12" s="15">
        <v>9.65</v>
      </c>
    </row>
    <row r="13" spans="1:20">
      <c r="Q13" s="3">
        <v>10</v>
      </c>
      <c r="R13" s="15">
        <v>5.83</v>
      </c>
      <c r="S13" s="15">
        <v>3.09</v>
      </c>
      <c r="T13" s="15">
        <v>8.58</v>
      </c>
    </row>
    <row r="14" spans="1:20">
      <c r="Q14" s="3">
        <v>11</v>
      </c>
      <c r="R14" s="15">
        <v>6.59</v>
      </c>
      <c r="S14" s="15">
        <v>3.84</v>
      </c>
      <c r="T14" s="15">
        <v>9.34</v>
      </c>
    </row>
    <row r="15" spans="1:20">
      <c r="Q15" s="3">
        <v>12</v>
      </c>
      <c r="R15" s="15">
        <v>6.38</v>
      </c>
      <c r="S15" s="15">
        <v>3.63</v>
      </c>
      <c r="T15" s="15">
        <v>9.1199999999999992</v>
      </c>
    </row>
    <row r="16" spans="1:20">
      <c r="Q16" s="3">
        <v>13</v>
      </c>
      <c r="R16" s="15">
        <v>7.09</v>
      </c>
      <c r="S16" s="15">
        <v>4.34</v>
      </c>
      <c r="T16" s="15">
        <v>9.84</v>
      </c>
    </row>
    <row r="17" spans="1:20">
      <c r="Q17" s="3">
        <v>14</v>
      </c>
      <c r="R17" s="15">
        <v>6.06</v>
      </c>
      <c r="S17" s="15">
        <v>3.31</v>
      </c>
      <c r="T17" s="15">
        <v>8.81</v>
      </c>
    </row>
    <row r="18" spans="1:20">
      <c r="Q18" s="3">
        <v>15</v>
      </c>
      <c r="R18" s="15">
        <v>4.99</v>
      </c>
      <c r="S18" s="15">
        <v>2.2400000000000002</v>
      </c>
      <c r="T18" s="15">
        <v>7.73</v>
      </c>
    </row>
    <row r="19" spans="1:20">
      <c r="Q19" s="3">
        <v>16</v>
      </c>
      <c r="R19" s="15">
        <v>4.21</v>
      </c>
      <c r="S19" s="15">
        <v>1.46</v>
      </c>
      <c r="T19" s="15">
        <v>6.96</v>
      </c>
    </row>
    <row r="20" spans="1:20">
      <c r="Q20" s="3">
        <v>17</v>
      </c>
      <c r="R20" s="15">
        <v>4.25</v>
      </c>
      <c r="S20" s="15">
        <v>1.5</v>
      </c>
      <c r="T20" s="15">
        <v>7</v>
      </c>
    </row>
    <row r="21" spans="1:20">
      <c r="Q21" s="3">
        <v>18</v>
      </c>
      <c r="R21" s="15">
        <v>2.83</v>
      </c>
      <c r="S21" s="15">
        <v>0.08</v>
      </c>
      <c r="T21" s="15">
        <v>5.58</v>
      </c>
    </row>
    <row r="22" spans="1:20">
      <c r="Q22" s="3">
        <v>19</v>
      </c>
      <c r="R22" s="15">
        <v>3.18</v>
      </c>
      <c r="S22" s="15">
        <v>0.44</v>
      </c>
      <c r="T22" s="15">
        <v>5.93</v>
      </c>
    </row>
    <row r="23" spans="1:20">
      <c r="Q23" s="3">
        <v>20</v>
      </c>
      <c r="R23" s="15">
        <v>3.09</v>
      </c>
      <c r="S23" s="15">
        <v>0.34</v>
      </c>
      <c r="T23" s="15">
        <v>5.84</v>
      </c>
    </row>
    <row r="24" spans="1:20">
      <c r="Q24" s="3">
        <v>21</v>
      </c>
      <c r="R24" s="15">
        <v>3</v>
      </c>
      <c r="S24" s="15">
        <v>0.25</v>
      </c>
      <c r="T24" s="15">
        <v>5.74</v>
      </c>
    </row>
    <row r="25" spans="1:20">
      <c r="Q25" s="3">
        <v>22</v>
      </c>
      <c r="R25" s="15">
        <v>3.4</v>
      </c>
      <c r="S25" s="15">
        <v>0.65</v>
      </c>
      <c r="T25" s="15">
        <v>6.15</v>
      </c>
    </row>
    <row r="26" spans="1:20">
      <c r="Q26" s="3">
        <v>23</v>
      </c>
      <c r="R26" s="15">
        <v>2.67</v>
      </c>
      <c r="S26" s="15">
        <v>-0.08</v>
      </c>
      <c r="T26" s="15">
        <v>5.42</v>
      </c>
    </row>
    <row r="27" spans="1:20">
      <c r="Q27" s="3">
        <v>24</v>
      </c>
      <c r="R27" s="15">
        <v>1.86</v>
      </c>
      <c r="S27" s="15">
        <v>-0.89</v>
      </c>
      <c r="T27" s="15">
        <v>4.5999999999999996</v>
      </c>
    </row>
    <row r="32" spans="1:20">
      <c r="A32" s="3" t="s">
        <v>42</v>
      </c>
    </row>
    <row r="33" spans="1:15" ht="18" customHeight="1">
      <c r="A33" s="21" t="s">
        <v>44</v>
      </c>
      <c r="B33" s="21"/>
      <c r="C33" s="21"/>
      <c r="D33" s="21"/>
      <c r="E33" s="21"/>
      <c r="F33" s="21"/>
      <c r="G33" s="21"/>
      <c r="H33" s="21"/>
      <c r="I33" s="21"/>
      <c r="J33" s="21"/>
      <c r="K33" s="21"/>
      <c r="L33" s="21"/>
      <c r="M33" s="21"/>
      <c r="N33" s="21"/>
      <c r="O33" s="21"/>
    </row>
    <row r="34" spans="1:15">
      <c r="A34" s="21"/>
      <c r="B34" s="21"/>
      <c r="C34" s="21"/>
      <c r="D34" s="21"/>
      <c r="E34" s="21"/>
      <c r="F34" s="21"/>
      <c r="G34" s="21"/>
      <c r="H34" s="21"/>
      <c r="I34" s="21"/>
      <c r="J34" s="21"/>
      <c r="K34" s="21"/>
      <c r="L34" s="21"/>
      <c r="M34" s="21"/>
      <c r="N34" s="21"/>
      <c r="O34" s="21"/>
    </row>
    <row r="35" spans="1:15">
      <c r="A35" s="6"/>
      <c r="B35" s="6"/>
      <c r="C35" s="6"/>
      <c r="D35" s="6"/>
      <c r="E35" s="6"/>
      <c r="F35" s="6"/>
      <c r="G35" s="6"/>
      <c r="H35" s="6"/>
      <c r="I35" s="6"/>
      <c r="J35" s="6"/>
      <c r="K35" s="6"/>
      <c r="L35" s="6"/>
      <c r="M35" s="6"/>
      <c r="N35" s="6"/>
      <c r="O35" s="6"/>
    </row>
    <row r="37" spans="1:15">
      <c r="A37" s="9" t="s">
        <v>60</v>
      </c>
    </row>
  </sheetData>
  <mergeCells count="1">
    <mergeCell ref="A33:O34"/>
  </mergeCells>
  <hyperlinks>
    <hyperlink ref="A37" location="'Read Me'!A1" display="Return to Read Me" xr:uid="{764B4DFB-BB3F-4F79-88A2-756F6327CDE1}"/>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SF.1.A.</vt:lpstr>
      <vt:lpstr>SF.1.B.</vt:lpstr>
      <vt:lpstr>SF.1.C.</vt:lpstr>
      <vt:lpstr>SF.1.D.</vt:lpstr>
      <vt:lpstr>SF.2.A.</vt:lpstr>
      <vt:lpstr>SF.2.B.</vt:lpstr>
      <vt:lpstr>SF.3.A.</vt:lpstr>
      <vt:lpstr>SF.3.B.</vt:lpstr>
      <vt:lpstr>SF.3.C.</vt:lpstr>
      <vt:lpstr>SF.3.D.</vt:lpstr>
      <vt:lpstr>SF.4.A.</vt:lpstr>
      <vt:lpstr>SF.4.B.</vt:lpstr>
      <vt:lpstr>SF.4.C.</vt:lpstr>
      <vt:lpstr>SF.4.D.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Celine Papageorgiou</dc:creator>
  <cp:lastModifiedBy>Guillermo Verduzco Bustos</cp:lastModifiedBy>
  <dcterms:created xsi:type="dcterms:W3CDTF">2015-06-05T18:17:20Z</dcterms:created>
  <dcterms:modified xsi:type="dcterms:W3CDTF">2026-04-27T15:56:03Z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2026-04-25T18:33:30Z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8604c501-163e-4249-ac94-d467cc93cc51</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