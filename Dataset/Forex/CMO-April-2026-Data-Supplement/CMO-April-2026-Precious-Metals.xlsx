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Commodities\2026a\Webcharts\"/>
    </mc:Choice>
  </mc:AlternateContent>
  <xr:revisionPtr revIDLastSave="0" documentId="13_ncr:1_{A8D4FC8D-8875-467A-8B6F-BCFD50D3CBD3}" xr6:coauthVersionLast="47" xr6:coauthVersionMax="47" xr10:uidLastSave="{00000000-0000-0000-0000-000000000000}"/>
  <bookViews>
    <workbookView xWindow="1780" yWindow="1780" windowWidth="25590" windowHeight="15370" xr2:uid="{9702391A-E815-4E81-BA61-0C11EC87AFEF}"/>
  </bookViews>
  <sheets>
    <sheet name="Read Me" sheetId="9" r:id="rId1"/>
    <sheet name="21.A." sheetId="1" r:id="rId2"/>
    <sheet name="21.B." sheetId="5" r:id="rId3"/>
    <sheet name="21.C." sheetId="7" r:id="rId4"/>
    <sheet name="21.D.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9" l="1"/>
  <c r="A4" i="9"/>
  <c r="A3" i="9"/>
  <c r="A2" i="9"/>
</calcChain>
</file>

<file path=xl/sharedStrings.xml><?xml version="1.0" encoding="utf-8"?>
<sst xmlns="http://schemas.openxmlformats.org/spreadsheetml/2006/main" count="35" uniqueCount="30">
  <si>
    <t>Sources: Bloomberg; World Bank.</t>
  </si>
  <si>
    <t>Return to Read Me</t>
  </si>
  <si>
    <t>2026 April forecasts</t>
  </si>
  <si>
    <t>2026 January forecasts</t>
  </si>
  <si>
    <t>Forecast range</t>
  </si>
  <si>
    <t>Negative</t>
  </si>
  <si>
    <t>Positive</t>
  </si>
  <si>
    <t>Figure 21.A. Precious metal prices</t>
  </si>
  <si>
    <t>Gold</t>
  </si>
  <si>
    <t>Platinum</t>
  </si>
  <si>
    <t>Silver</t>
  </si>
  <si>
    <t>Figure 21.B. Gold demand</t>
  </si>
  <si>
    <t>ETFs</t>
  </si>
  <si>
    <t>Central banks</t>
  </si>
  <si>
    <t>ETFs (avg. 2012-21)</t>
  </si>
  <si>
    <t>Central banks (avg. 2012-21)</t>
  </si>
  <si>
    <t>Figure 21.C. Recycled gold supply</t>
  </si>
  <si>
    <t xml:space="preserve">   Recycled gold</t>
  </si>
  <si>
    <t xml:space="preserve">Consensus (90th) </t>
  </si>
  <si>
    <t xml:space="preserve">Consensus (10th) </t>
  </si>
  <si>
    <t>Silver (RHS)</t>
  </si>
  <si>
    <t>Figure 21.D. Base metal price forecasts for 2026</t>
  </si>
  <si>
    <t>Sources: Consensus Economics; World Bank.</t>
  </si>
  <si>
    <t>Note: Bars show recycled gold supply in metric tons. Last observation is 2025.</t>
  </si>
  <si>
    <t xml:space="preserve">Sources:  World Gold Council; World Bank. </t>
  </si>
  <si>
    <t>Note: Monthly data. Last observation is March 2026.</t>
  </si>
  <si>
    <t>Sources: Bloomberg; World Gold Council; World Bank.</t>
  </si>
  <si>
    <t>Note: RHS = right-hand scale; toz = troy ounce. Blue bars show the World Bank Group’s baseline forecast for 2026. Red markers show January 2026 forecasts. Whiskers indicates the 10th-90th percentile range of private sector price forecasts, based on March 2026 Consensus Forecasts release.</t>
  </si>
  <si>
    <t>Note: ETF = exchange-traded funds. Gold purchases are measured in metric tons. “Central banks” include other official-sector institutions, such as the IMF. Last observation is 2025.</t>
  </si>
  <si>
    <t>Figure 21. Precious metals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</si>
</sst>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</font>
    <font>
      <sz val="11"/>
      <color theme="1"/>
      <name val="Aptos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u/>
      <sz val="14"/>
      <color theme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u/>
      <sz val="14"/>
      <color theme="10"/>
      <name val="Arial 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0" fontId="11" fillId="0" borderId="0"/>
    <xf numFmtId="0" fontId="12" fillId="0" borderId="0"/>
    <xf numFmtId="0" fontId="8" fillId="0" borderId="0"/>
    <xf numFmtId="0" fontId="13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 applyFont="1"/>
    <xf numFmtId="0" fontId="10" fillId="0" borderId="0" xfId="1" applyFont="1"/>
    <xf numFmtId="0" fontId="11" fillId="0" borderId="0" xfId="3"/>
    <xf numFmtId="1" fontId="3" fillId="0" borderId="0" xfId="0" applyNumberFormat="1" applyFont="1"/>
    <xf numFmtId="0" fontId="9" fillId="0" borderId="0" xfId="0" applyFont="1"/>
    <xf numFmtId="14" fontId="3" fillId="0" borderId="0" xfId="0" applyNumberFormat="1" applyFont="1"/>
    <xf numFmtId="0" fontId="3" fillId="0" borderId="0" xfId="4" applyFont="1"/>
    <xf numFmtId="0" fontId="8" fillId="0" borderId="0" xfId="5"/>
    <xf numFmtId="0" fontId="3" fillId="0" borderId="0" xfId="6" applyFont="1"/>
    <xf numFmtId="164" fontId="2" fillId="0" borderId="0" xfId="4" applyNumberFormat="1" applyFont="1" applyAlignment="1">
      <alignment horizontal="center"/>
    </xf>
    <xf numFmtId="0" fontId="2" fillId="0" borderId="0" xfId="5" applyFont="1"/>
    <xf numFmtId="0" fontId="14" fillId="0" borderId="0" xfId="3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3" fillId="0" borderId="0" xfId="6" applyFont="1" applyAlignment="1">
      <alignment horizontal="right"/>
    </xf>
    <xf numFmtId="0" fontId="2" fillId="0" borderId="0" xfId="4" applyFont="1" applyAlignment="1">
      <alignment horizontal="right"/>
    </xf>
    <xf numFmtId="1" fontId="2" fillId="0" borderId="0" xfId="4" applyNumberFormat="1" applyFont="1" applyAlignment="1">
      <alignment horizontal="right"/>
    </xf>
    <xf numFmtId="164" fontId="2" fillId="0" borderId="0" xfId="4" applyNumberFormat="1" applyFont="1" applyAlignment="1">
      <alignment horizontal="right"/>
    </xf>
    <xf numFmtId="1" fontId="3" fillId="0" borderId="0" xfId="6" applyNumberFormat="1" applyFont="1" applyAlignment="1">
      <alignment horizontal="right"/>
    </xf>
    <xf numFmtId="0" fontId="2" fillId="0" borderId="0" xfId="5" applyFont="1" applyAlignment="1">
      <alignment horizontal="right"/>
    </xf>
    <xf numFmtId="3" fontId="3" fillId="0" borderId="0" xfId="4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7">
    <cellStyle name="Hyperlink" xfId="1" builtinId="8"/>
    <cellStyle name="Normal" xfId="0" builtinId="0"/>
    <cellStyle name="Normal 2" xfId="4" xr:uid="{A5F68FAD-8A5D-4925-9E6A-48491A16B1B5}"/>
    <cellStyle name="Normal 4" xfId="5" xr:uid="{040DBB5C-2748-4726-804A-46C61E72EF2A}"/>
    <cellStyle name="Normal 4 2" xfId="6" xr:uid="{0E7EB44B-BE07-4AF8-8669-F31CD9A15AC8}"/>
    <cellStyle name="Normal 7" xfId="2" xr:uid="{3AC9CC5A-A2F0-4B3F-986F-16F57EDBA33C}"/>
    <cellStyle name="Normal 8" xfId="3" xr:uid="{F24AC753-1EA5-4257-B4DF-E586AAA83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'21.A.'!$R$2</c:f>
              <c:strCache>
                <c:ptCount val="1"/>
                <c:pt idx="0">
                  <c:v>Gold</c:v>
                </c:pt>
              </c:strCache>
            </c:strRef>
          </c:tx>
          <c:spPr>
            <a:ln w="76200" cap="rnd">
              <a:solidFill>
                <a:srgbClr val="002345"/>
              </a:solidFill>
              <a:round/>
            </a:ln>
            <a:effectLst/>
          </c:spPr>
          <c:marker>
            <c:symbol val="none"/>
          </c:marker>
          <c:cat>
            <c:numRef>
              <c:f>'21.A.'!$Q$3:$Q$89</c:f>
              <c:numCache>
                <c:formatCode>m/d/yyyy</c:formatCode>
                <c:ptCount val="8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</c:numCache>
            </c:numRef>
          </c:cat>
          <c:val>
            <c:numRef>
              <c:f>'21.A.'!$R$3:$R$89</c:f>
              <c:numCache>
                <c:formatCode>0</c:formatCode>
                <c:ptCount val="87"/>
                <c:pt idx="0">
                  <c:v>48.8</c:v>
                </c:pt>
                <c:pt idx="1">
                  <c:v>49.9</c:v>
                </c:pt>
                <c:pt idx="2">
                  <c:v>49.1</c:v>
                </c:pt>
                <c:pt idx="3">
                  <c:v>48.6</c:v>
                </c:pt>
                <c:pt idx="4">
                  <c:v>48.5</c:v>
                </c:pt>
                <c:pt idx="5">
                  <c:v>51.3</c:v>
                </c:pt>
                <c:pt idx="6">
                  <c:v>53.4</c:v>
                </c:pt>
                <c:pt idx="7">
                  <c:v>56.7</c:v>
                </c:pt>
                <c:pt idx="8">
                  <c:v>57</c:v>
                </c:pt>
                <c:pt idx="9">
                  <c:v>56.5</c:v>
                </c:pt>
                <c:pt idx="10">
                  <c:v>55.5</c:v>
                </c:pt>
                <c:pt idx="11">
                  <c:v>55.9</c:v>
                </c:pt>
                <c:pt idx="12">
                  <c:v>58.9</c:v>
                </c:pt>
                <c:pt idx="13">
                  <c:v>60.3</c:v>
                </c:pt>
                <c:pt idx="14">
                  <c:v>60.1</c:v>
                </c:pt>
                <c:pt idx="15">
                  <c:v>63.6</c:v>
                </c:pt>
                <c:pt idx="16">
                  <c:v>64.8</c:v>
                </c:pt>
                <c:pt idx="17">
                  <c:v>65.400000000000006</c:v>
                </c:pt>
                <c:pt idx="18">
                  <c:v>69.7</c:v>
                </c:pt>
                <c:pt idx="19">
                  <c:v>74.3</c:v>
                </c:pt>
                <c:pt idx="20">
                  <c:v>72.599999999999994</c:v>
                </c:pt>
                <c:pt idx="21">
                  <c:v>71.8</c:v>
                </c:pt>
                <c:pt idx="22">
                  <c:v>70.5</c:v>
                </c:pt>
                <c:pt idx="23">
                  <c:v>70.2</c:v>
                </c:pt>
                <c:pt idx="24">
                  <c:v>70.5</c:v>
                </c:pt>
                <c:pt idx="25">
                  <c:v>68.3</c:v>
                </c:pt>
                <c:pt idx="26">
                  <c:v>64.900000000000006</c:v>
                </c:pt>
                <c:pt idx="27">
                  <c:v>66.5</c:v>
                </c:pt>
                <c:pt idx="28">
                  <c:v>69.900000000000006</c:v>
                </c:pt>
                <c:pt idx="29">
                  <c:v>69.3</c:v>
                </c:pt>
                <c:pt idx="30">
                  <c:v>68.3</c:v>
                </c:pt>
                <c:pt idx="31">
                  <c:v>67.400000000000006</c:v>
                </c:pt>
                <c:pt idx="32">
                  <c:v>67</c:v>
                </c:pt>
                <c:pt idx="33">
                  <c:v>67.099999999999994</c:v>
                </c:pt>
                <c:pt idx="34">
                  <c:v>68.8</c:v>
                </c:pt>
                <c:pt idx="35">
                  <c:v>67.599999999999994</c:v>
                </c:pt>
                <c:pt idx="36">
                  <c:v>68.599999999999994</c:v>
                </c:pt>
                <c:pt idx="37">
                  <c:v>70.099999999999994</c:v>
                </c:pt>
                <c:pt idx="38">
                  <c:v>73.599999999999994</c:v>
                </c:pt>
                <c:pt idx="39">
                  <c:v>73.099999999999994</c:v>
                </c:pt>
                <c:pt idx="40">
                  <c:v>69.8</c:v>
                </c:pt>
                <c:pt idx="41">
                  <c:v>69.400000000000006</c:v>
                </c:pt>
                <c:pt idx="42">
                  <c:v>65.400000000000006</c:v>
                </c:pt>
                <c:pt idx="43">
                  <c:v>66.599999999999994</c:v>
                </c:pt>
                <c:pt idx="44">
                  <c:v>63.5</c:v>
                </c:pt>
                <c:pt idx="45">
                  <c:v>62.9</c:v>
                </c:pt>
                <c:pt idx="46">
                  <c:v>65.099999999999994</c:v>
                </c:pt>
                <c:pt idx="47">
                  <c:v>67.900000000000006</c:v>
                </c:pt>
                <c:pt idx="48">
                  <c:v>71.7</c:v>
                </c:pt>
                <c:pt idx="49">
                  <c:v>70</c:v>
                </c:pt>
                <c:pt idx="50">
                  <c:v>72.2</c:v>
                </c:pt>
                <c:pt idx="51">
                  <c:v>75.5</c:v>
                </c:pt>
                <c:pt idx="52">
                  <c:v>75.2</c:v>
                </c:pt>
                <c:pt idx="53">
                  <c:v>73.400000000000006</c:v>
                </c:pt>
                <c:pt idx="54">
                  <c:v>73.7</c:v>
                </c:pt>
                <c:pt idx="55">
                  <c:v>72.5</c:v>
                </c:pt>
                <c:pt idx="56">
                  <c:v>72.400000000000006</c:v>
                </c:pt>
                <c:pt idx="57">
                  <c:v>72.400000000000006</c:v>
                </c:pt>
                <c:pt idx="58">
                  <c:v>74.900000000000006</c:v>
                </c:pt>
                <c:pt idx="59">
                  <c:v>76.5</c:v>
                </c:pt>
                <c:pt idx="60">
                  <c:v>76.8</c:v>
                </c:pt>
                <c:pt idx="61">
                  <c:v>76.400000000000006</c:v>
                </c:pt>
                <c:pt idx="62">
                  <c:v>81.5</c:v>
                </c:pt>
                <c:pt idx="63">
                  <c:v>88</c:v>
                </c:pt>
                <c:pt idx="64">
                  <c:v>88.8</c:v>
                </c:pt>
                <c:pt idx="65">
                  <c:v>87.9</c:v>
                </c:pt>
                <c:pt idx="66">
                  <c:v>90.6</c:v>
                </c:pt>
                <c:pt idx="67">
                  <c:v>93.3</c:v>
                </c:pt>
                <c:pt idx="68">
                  <c:v>97.1</c:v>
                </c:pt>
                <c:pt idx="69">
                  <c:v>101.6</c:v>
                </c:pt>
                <c:pt idx="70">
                  <c:v>100.1</c:v>
                </c:pt>
                <c:pt idx="71">
                  <c:v>100</c:v>
                </c:pt>
                <c:pt idx="72">
                  <c:v>102.3</c:v>
                </c:pt>
                <c:pt idx="73">
                  <c:v>109.3</c:v>
                </c:pt>
                <c:pt idx="74">
                  <c:v>112.7</c:v>
                </c:pt>
                <c:pt idx="75">
                  <c:v>121.5</c:v>
                </c:pt>
                <c:pt idx="76">
                  <c:v>125</c:v>
                </c:pt>
                <c:pt idx="77">
                  <c:v>126.6</c:v>
                </c:pt>
                <c:pt idx="78">
                  <c:v>126.1</c:v>
                </c:pt>
                <c:pt idx="79">
                  <c:v>127.2</c:v>
                </c:pt>
                <c:pt idx="80">
                  <c:v>138.5</c:v>
                </c:pt>
                <c:pt idx="81">
                  <c:v>153.30000000000001</c:v>
                </c:pt>
                <c:pt idx="82">
                  <c:v>154.30000000000001</c:v>
                </c:pt>
                <c:pt idx="83">
                  <c:v>162.69999999999999</c:v>
                </c:pt>
                <c:pt idx="84">
                  <c:v>179.5</c:v>
                </c:pt>
                <c:pt idx="85">
                  <c:v>189.6</c:v>
                </c:pt>
                <c:pt idx="86">
                  <c:v>183.4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A-4F29-BC13-43CD1D8D419D}"/>
            </c:ext>
          </c:extLst>
        </c:ser>
        <c:ser>
          <c:idx val="1"/>
          <c:order val="1"/>
          <c:tx>
            <c:strRef>
              <c:f>'21.A.'!$S$2</c:f>
              <c:strCache>
                <c:ptCount val="1"/>
                <c:pt idx="0">
                  <c:v>Platinum</c:v>
                </c:pt>
              </c:strCache>
            </c:strRef>
          </c:tx>
          <c:spPr>
            <a:ln w="76200" cap="rnd">
              <a:solidFill>
                <a:srgbClr val="EB1C2D"/>
              </a:solidFill>
              <a:round/>
            </a:ln>
            <a:effectLst/>
          </c:spPr>
          <c:marker>
            <c:symbol val="none"/>
          </c:marker>
          <c:cat>
            <c:numRef>
              <c:f>'21.A.'!$Q$3:$Q$89</c:f>
              <c:numCache>
                <c:formatCode>m/d/yyyy</c:formatCode>
                <c:ptCount val="8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</c:numCache>
            </c:numRef>
          </c:cat>
          <c:val>
            <c:numRef>
              <c:f>'21.A.'!$S$3:$S$89</c:f>
              <c:numCache>
                <c:formatCode>0</c:formatCode>
                <c:ptCount val="87"/>
                <c:pt idx="0">
                  <c:v>86</c:v>
                </c:pt>
                <c:pt idx="1">
                  <c:v>87.2</c:v>
                </c:pt>
                <c:pt idx="2">
                  <c:v>89.9</c:v>
                </c:pt>
                <c:pt idx="3">
                  <c:v>94.6</c:v>
                </c:pt>
                <c:pt idx="4">
                  <c:v>88.9</c:v>
                </c:pt>
                <c:pt idx="5">
                  <c:v>86.2</c:v>
                </c:pt>
                <c:pt idx="6">
                  <c:v>90</c:v>
                </c:pt>
                <c:pt idx="7">
                  <c:v>91.6</c:v>
                </c:pt>
                <c:pt idx="8">
                  <c:v>100.7</c:v>
                </c:pt>
                <c:pt idx="9">
                  <c:v>95.7</c:v>
                </c:pt>
                <c:pt idx="10">
                  <c:v>96.2</c:v>
                </c:pt>
                <c:pt idx="11">
                  <c:v>98.5</c:v>
                </c:pt>
                <c:pt idx="12">
                  <c:v>105.3</c:v>
                </c:pt>
                <c:pt idx="13">
                  <c:v>102.5</c:v>
                </c:pt>
                <c:pt idx="14">
                  <c:v>80.900000000000006</c:v>
                </c:pt>
                <c:pt idx="15">
                  <c:v>80.400000000000006</c:v>
                </c:pt>
                <c:pt idx="16">
                  <c:v>84.3</c:v>
                </c:pt>
                <c:pt idx="17">
                  <c:v>87.5</c:v>
                </c:pt>
                <c:pt idx="18">
                  <c:v>92.2</c:v>
                </c:pt>
                <c:pt idx="19">
                  <c:v>100.3</c:v>
                </c:pt>
                <c:pt idx="20">
                  <c:v>96.8</c:v>
                </c:pt>
                <c:pt idx="21">
                  <c:v>93.4</c:v>
                </c:pt>
                <c:pt idx="22">
                  <c:v>97.2</c:v>
                </c:pt>
                <c:pt idx="23">
                  <c:v>109.6</c:v>
                </c:pt>
                <c:pt idx="24">
                  <c:v>116.3</c:v>
                </c:pt>
                <c:pt idx="25">
                  <c:v>128.69999999999999</c:v>
                </c:pt>
                <c:pt idx="26">
                  <c:v>125.9</c:v>
                </c:pt>
                <c:pt idx="27">
                  <c:v>128.9</c:v>
                </c:pt>
                <c:pt idx="28">
                  <c:v>129.4</c:v>
                </c:pt>
                <c:pt idx="29">
                  <c:v>119.8</c:v>
                </c:pt>
                <c:pt idx="30">
                  <c:v>115.8</c:v>
                </c:pt>
                <c:pt idx="31">
                  <c:v>107.6</c:v>
                </c:pt>
                <c:pt idx="32">
                  <c:v>103.8</c:v>
                </c:pt>
                <c:pt idx="33">
                  <c:v>108.4</c:v>
                </c:pt>
                <c:pt idx="34">
                  <c:v>110.7</c:v>
                </c:pt>
                <c:pt idx="35">
                  <c:v>100.7</c:v>
                </c:pt>
                <c:pt idx="36">
                  <c:v>106</c:v>
                </c:pt>
                <c:pt idx="37">
                  <c:v>111.9</c:v>
                </c:pt>
                <c:pt idx="38">
                  <c:v>111.2</c:v>
                </c:pt>
                <c:pt idx="39">
                  <c:v>102.9</c:v>
                </c:pt>
                <c:pt idx="40">
                  <c:v>102.2</c:v>
                </c:pt>
                <c:pt idx="41">
                  <c:v>102</c:v>
                </c:pt>
                <c:pt idx="42">
                  <c:v>92.7</c:v>
                </c:pt>
                <c:pt idx="43">
                  <c:v>96.9</c:v>
                </c:pt>
                <c:pt idx="44">
                  <c:v>94</c:v>
                </c:pt>
                <c:pt idx="45">
                  <c:v>97.5</c:v>
                </c:pt>
                <c:pt idx="46">
                  <c:v>105.5</c:v>
                </c:pt>
                <c:pt idx="47">
                  <c:v>107.8</c:v>
                </c:pt>
                <c:pt idx="48">
                  <c:v>112.3</c:v>
                </c:pt>
                <c:pt idx="49">
                  <c:v>102.2</c:v>
                </c:pt>
                <c:pt idx="50">
                  <c:v>103.5</c:v>
                </c:pt>
                <c:pt idx="51">
                  <c:v>112</c:v>
                </c:pt>
                <c:pt idx="52">
                  <c:v>113.3</c:v>
                </c:pt>
                <c:pt idx="53">
                  <c:v>103.5</c:v>
                </c:pt>
                <c:pt idx="54">
                  <c:v>101.3</c:v>
                </c:pt>
                <c:pt idx="55">
                  <c:v>98.6</c:v>
                </c:pt>
                <c:pt idx="56">
                  <c:v>98.2</c:v>
                </c:pt>
                <c:pt idx="57">
                  <c:v>95.1</c:v>
                </c:pt>
                <c:pt idx="58">
                  <c:v>96.6</c:v>
                </c:pt>
                <c:pt idx="59">
                  <c:v>99.7</c:v>
                </c:pt>
                <c:pt idx="60">
                  <c:v>98.7</c:v>
                </c:pt>
                <c:pt idx="61">
                  <c:v>95.4</c:v>
                </c:pt>
                <c:pt idx="62">
                  <c:v>96.9</c:v>
                </c:pt>
                <c:pt idx="63">
                  <c:v>100.2</c:v>
                </c:pt>
                <c:pt idx="64">
                  <c:v>108.2</c:v>
                </c:pt>
                <c:pt idx="65">
                  <c:v>105</c:v>
                </c:pt>
                <c:pt idx="66">
                  <c:v>104.4</c:v>
                </c:pt>
                <c:pt idx="67">
                  <c:v>100.8</c:v>
                </c:pt>
                <c:pt idx="68">
                  <c:v>103.1</c:v>
                </c:pt>
                <c:pt idx="69">
                  <c:v>106.5</c:v>
                </c:pt>
                <c:pt idx="70">
                  <c:v>102.9</c:v>
                </c:pt>
                <c:pt idx="71">
                  <c:v>100</c:v>
                </c:pt>
                <c:pt idx="72">
                  <c:v>101.2</c:v>
                </c:pt>
                <c:pt idx="73">
                  <c:v>104.3</c:v>
                </c:pt>
                <c:pt idx="74">
                  <c:v>104.5</c:v>
                </c:pt>
                <c:pt idx="75">
                  <c:v>102.2</c:v>
                </c:pt>
                <c:pt idx="76">
                  <c:v>104.4</c:v>
                </c:pt>
                <c:pt idx="77">
                  <c:v>133.4</c:v>
                </c:pt>
                <c:pt idx="78">
                  <c:v>148.30000000000001</c:v>
                </c:pt>
                <c:pt idx="79">
                  <c:v>143.1</c:v>
                </c:pt>
                <c:pt idx="80">
                  <c:v>153</c:v>
                </c:pt>
                <c:pt idx="81">
                  <c:v>172.3</c:v>
                </c:pt>
                <c:pt idx="82">
                  <c:v>166.8</c:v>
                </c:pt>
                <c:pt idx="83">
                  <c:v>201.9</c:v>
                </c:pt>
                <c:pt idx="84">
                  <c:v>259.5</c:v>
                </c:pt>
                <c:pt idx="85">
                  <c:v>227.9</c:v>
                </c:pt>
                <c:pt idx="86">
                  <c:v>218.2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A-4F29-BC13-43CD1D8D419D}"/>
            </c:ext>
          </c:extLst>
        </c:ser>
        <c:ser>
          <c:idx val="2"/>
          <c:order val="2"/>
          <c:tx>
            <c:strRef>
              <c:f>'21.A.'!$T$2</c:f>
              <c:strCache>
                <c:ptCount val="1"/>
                <c:pt idx="0">
                  <c:v>Silver</c:v>
                </c:pt>
              </c:strCache>
            </c:strRef>
          </c:tx>
          <c:spPr>
            <a:ln w="76200" cap="rnd">
              <a:solidFill>
                <a:srgbClr val="F78D28"/>
              </a:solidFill>
              <a:round/>
            </a:ln>
            <a:effectLst/>
          </c:spPr>
          <c:marker>
            <c:symbol val="none"/>
          </c:marker>
          <c:cat>
            <c:numRef>
              <c:f>'21.A.'!$Q$3:$Q$89</c:f>
              <c:numCache>
                <c:formatCode>m/d/yyyy</c:formatCode>
                <c:ptCount val="8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</c:numCache>
            </c:numRef>
          </c:cat>
          <c:val>
            <c:numRef>
              <c:f>'21.A.'!$T$3:$T$89</c:f>
              <c:numCache>
                <c:formatCode>0</c:formatCode>
                <c:ptCount val="87"/>
                <c:pt idx="0">
                  <c:v>50.8</c:v>
                </c:pt>
                <c:pt idx="1">
                  <c:v>51.4</c:v>
                </c:pt>
                <c:pt idx="2">
                  <c:v>49.7</c:v>
                </c:pt>
                <c:pt idx="3">
                  <c:v>48.9</c:v>
                </c:pt>
                <c:pt idx="4">
                  <c:v>47.7</c:v>
                </c:pt>
                <c:pt idx="5">
                  <c:v>48.9</c:v>
                </c:pt>
                <c:pt idx="6">
                  <c:v>51.3</c:v>
                </c:pt>
                <c:pt idx="7">
                  <c:v>56</c:v>
                </c:pt>
                <c:pt idx="8">
                  <c:v>59</c:v>
                </c:pt>
                <c:pt idx="9">
                  <c:v>57.4</c:v>
                </c:pt>
                <c:pt idx="10">
                  <c:v>55.8</c:v>
                </c:pt>
                <c:pt idx="11">
                  <c:v>55.7</c:v>
                </c:pt>
                <c:pt idx="12">
                  <c:v>58.4</c:v>
                </c:pt>
                <c:pt idx="13">
                  <c:v>58.1</c:v>
                </c:pt>
                <c:pt idx="14">
                  <c:v>48.4</c:v>
                </c:pt>
                <c:pt idx="15">
                  <c:v>49</c:v>
                </c:pt>
                <c:pt idx="16">
                  <c:v>52.8</c:v>
                </c:pt>
                <c:pt idx="17">
                  <c:v>57.6</c:v>
                </c:pt>
                <c:pt idx="18">
                  <c:v>67.099999999999994</c:v>
                </c:pt>
                <c:pt idx="19">
                  <c:v>87.8</c:v>
                </c:pt>
                <c:pt idx="20">
                  <c:v>83.7</c:v>
                </c:pt>
                <c:pt idx="21">
                  <c:v>78.8</c:v>
                </c:pt>
                <c:pt idx="22">
                  <c:v>78.3</c:v>
                </c:pt>
                <c:pt idx="23">
                  <c:v>81.2</c:v>
                </c:pt>
                <c:pt idx="24">
                  <c:v>84.1</c:v>
                </c:pt>
                <c:pt idx="25">
                  <c:v>88.7</c:v>
                </c:pt>
                <c:pt idx="26">
                  <c:v>83.4</c:v>
                </c:pt>
                <c:pt idx="27">
                  <c:v>83.5</c:v>
                </c:pt>
                <c:pt idx="28">
                  <c:v>89.4</c:v>
                </c:pt>
                <c:pt idx="29">
                  <c:v>87.7</c:v>
                </c:pt>
                <c:pt idx="30">
                  <c:v>83.5</c:v>
                </c:pt>
                <c:pt idx="31">
                  <c:v>78</c:v>
                </c:pt>
                <c:pt idx="32">
                  <c:v>75.400000000000006</c:v>
                </c:pt>
                <c:pt idx="33">
                  <c:v>76.099999999999994</c:v>
                </c:pt>
                <c:pt idx="34">
                  <c:v>78.599999999999994</c:v>
                </c:pt>
                <c:pt idx="35">
                  <c:v>73.2</c:v>
                </c:pt>
                <c:pt idx="36">
                  <c:v>75.3</c:v>
                </c:pt>
                <c:pt idx="37">
                  <c:v>76.5</c:v>
                </c:pt>
                <c:pt idx="38">
                  <c:v>82.3</c:v>
                </c:pt>
                <c:pt idx="39">
                  <c:v>79.8</c:v>
                </c:pt>
                <c:pt idx="40">
                  <c:v>71.2</c:v>
                </c:pt>
                <c:pt idx="41">
                  <c:v>70.099999999999994</c:v>
                </c:pt>
                <c:pt idx="42">
                  <c:v>62</c:v>
                </c:pt>
                <c:pt idx="43">
                  <c:v>64.099999999999994</c:v>
                </c:pt>
                <c:pt idx="44">
                  <c:v>61.6</c:v>
                </c:pt>
                <c:pt idx="45">
                  <c:v>63.1</c:v>
                </c:pt>
                <c:pt idx="46">
                  <c:v>68.3</c:v>
                </c:pt>
                <c:pt idx="47">
                  <c:v>75.8</c:v>
                </c:pt>
                <c:pt idx="48">
                  <c:v>76.900000000000006</c:v>
                </c:pt>
                <c:pt idx="49">
                  <c:v>71.3</c:v>
                </c:pt>
                <c:pt idx="50">
                  <c:v>71.400000000000006</c:v>
                </c:pt>
                <c:pt idx="51">
                  <c:v>81.3</c:v>
                </c:pt>
                <c:pt idx="52">
                  <c:v>78.900000000000006</c:v>
                </c:pt>
                <c:pt idx="53">
                  <c:v>76.099999999999994</c:v>
                </c:pt>
                <c:pt idx="54">
                  <c:v>78.8</c:v>
                </c:pt>
                <c:pt idx="55">
                  <c:v>76.2</c:v>
                </c:pt>
                <c:pt idx="56">
                  <c:v>75.099999999999994</c:v>
                </c:pt>
                <c:pt idx="57">
                  <c:v>72.7</c:v>
                </c:pt>
                <c:pt idx="58">
                  <c:v>76.3</c:v>
                </c:pt>
                <c:pt idx="59">
                  <c:v>77.599999999999994</c:v>
                </c:pt>
                <c:pt idx="60">
                  <c:v>74.5</c:v>
                </c:pt>
                <c:pt idx="61">
                  <c:v>73.599999999999994</c:v>
                </c:pt>
                <c:pt idx="62">
                  <c:v>79.7</c:v>
                </c:pt>
                <c:pt idx="63">
                  <c:v>89.4</c:v>
                </c:pt>
                <c:pt idx="64">
                  <c:v>95.4</c:v>
                </c:pt>
                <c:pt idx="65">
                  <c:v>96.1</c:v>
                </c:pt>
                <c:pt idx="66">
                  <c:v>96.8</c:v>
                </c:pt>
                <c:pt idx="67">
                  <c:v>92.7</c:v>
                </c:pt>
                <c:pt idx="68">
                  <c:v>97.9</c:v>
                </c:pt>
                <c:pt idx="69">
                  <c:v>105.4</c:v>
                </c:pt>
                <c:pt idx="70">
                  <c:v>101.1</c:v>
                </c:pt>
                <c:pt idx="71">
                  <c:v>100</c:v>
                </c:pt>
                <c:pt idx="72">
                  <c:v>98.9</c:v>
                </c:pt>
                <c:pt idx="73">
                  <c:v>104.5</c:v>
                </c:pt>
                <c:pt idx="74">
                  <c:v>107.9</c:v>
                </c:pt>
                <c:pt idx="75">
                  <c:v>104.7</c:v>
                </c:pt>
                <c:pt idx="76">
                  <c:v>106.5</c:v>
                </c:pt>
                <c:pt idx="77">
                  <c:v>117</c:v>
                </c:pt>
                <c:pt idx="78">
                  <c:v>122.5</c:v>
                </c:pt>
                <c:pt idx="79">
                  <c:v>124.1</c:v>
                </c:pt>
                <c:pt idx="80">
                  <c:v>139.19999999999999</c:v>
                </c:pt>
                <c:pt idx="81">
                  <c:v>160.69999999999999</c:v>
                </c:pt>
                <c:pt idx="82">
                  <c:v>163.9</c:v>
                </c:pt>
                <c:pt idx="83">
                  <c:v>202.6</c:v>
                </c:pt>
                <c:pt idx="84">
                  <c:v>299.3</c:v>
                </c:pt>
                <c:pt idx="85">
                  <c:v>266.39999999999998</c:v>
                </c:pt>
                <c:pt idx="86">
                  <c:v>253.2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A-4F29-BC13-43CD1D8D419D}"/>
            </c:ext>
          </c:extLst>
        </c:ser>
        <c:ser>
          <c:idx val="3"/>
          <c:order val="3"/>
          <c:tx>
            <c:strRef>
              <c:f>'21.A.'!$U$2</c:f>
              <c:strCache>
                <c:ptCount val="1"/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'21.A.'!$Q$3:$Q$89</c:f>
              <c:numCache>
                <c:formatCode>m/d/yyyy</c:formatCode>
                <c:ptCount val="8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  <c:pt idx="86">
                  <c:v>46082</c:v>
                </c:pt>
              </c:numCache>
            </c:numRef>
          </c:cat>
          <c:val>
            <c:numRef>
              <c:f>'21.A.'!$U$3:$U$89</c:f>
              <c:numCache>
                <c:formatCode>General</c:formatCode>
                <c:ptCount val="8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BA-4F29-BC13-43CD1D8D4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489071"/>
        <c:axId val="1850495791"/>
      </c:lineChart>
      <c:dateAx>
        <c:axId val="1850489071"/>
        <c:scaling>
          <c:orientation val="minMax"/>
          <c:max val="46113"/>
        </c:scaling>
        <c:delete val="0"/>
        <c:axPos val="b"/>
        <c:numFmt formatCode="mmm\-yy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0495791"/>
        <c:crosses val="autoZero"/>
        <c:auto val="1"/>
        <c:lblOffset val="100"/>
        <c:baseTimeUnit val="days"/>
        <c:majorUnit val="291"/>
        <c:majorTimeUnit val="days"/>
      </c:dateAx>
      <c:valAx>
        <c:axId val="185049579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048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41359256127750271"/>
          <c:y val="7.7948986734541231E-2"/>
          <c:w val="0.5712338373771797"/>
          <c:h val="7.5034856514485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53018372703411"/>
          <c:y val="0.16185487996109116"/>
          <c:w val="0.84846981627296592"/>
          <c:h val="0.71766966030204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'21.B.'!$Q$3</c:f>
              <c:strCache>
                <c:ptCount val="1"/>
                <c:pt idx="0">
                  <c:v>ETFs</c:v>
                </c:pt>
              </c:strCache>
            </c:strRef>
          </c:tx>
          <c:spPr>
            <a:solidFill>
              <a:srgbClr val="002345"/>
            </a:solidFill>
            <a:ln w="76200">
              <a:noFill/>
            </a:ln>
            <a:effectLst/>
          </c:spPr>
          <c:invertIfNegative val="0"/>
          <c:cat>
            <c:numRef>
              <c:f>'21.B.'!$R$2:$U$2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'21.B.'!$R$3:$U$3</c:f>
              <c:numCache>
                <c:formatCode>#,##0</c:formatCode>
                <c:ptCount val="4"/>
                <c:pt idx="0">
                  <c:v>-109.1</c:v>
                </c:pt>
                <c:pt idx="1">
                  <c:v>-243.3</c:v>
                </c:pt>
                <c:pt idx="2">
                  <c:v>-2.9</c:v>
                </c:pt>
                <c:pt idx="3">
                  <c:v>801.2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7-46F9-8408-B438E1DFFDA5}"/>
            </c:ext>
          </c:extLst>
        </c:ser>
        <c:ser>
          <c:idx val="1"/>
          <c:order val="1"/>
          <c:tx>
            <c:strRef>
              <c:f>'21.B.'!$Q$4</c:f>
              <c:strCache>
                <c:ptCount val="1"/>
                <c:pt idx="0">
                  <c:v>Central banks</c:v>
                </c:pt>
              </c:strCache>
            </c:strRef>
          </c:tx>
          <c:spPr>
            <a:solidFill>
              <a:srgbClr val="EB1C2D"/>
            </a:solidFill>
            <a:ln w="76200">
              <a:noFill/>
            </a:ln>
            <a:effectLst/>
          </c:spPr>
          <c:invertIfNegative val="0"/>
          <c:cat>
            <c:numRef>
              <c:f>'21.B.'!$R$2:$U$2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'21.B.'!$R$4:$U$4</c:f>
              <c:numCache>
                <c:formatCode>#,##0</c:formatCode>
                <c:ptCount val="4"/>
                <c:pt idx="0">
                  <c:v>1080</c:v>
                </c:pt>
                <c:pt idx="1">
                  <c:v>1050.8</c:v>
                </c:pt>
                <c:pt idx="2">
                  <c:v>1092.4000000000001</c:v>
                </c:pt>
                <c:pt idx="3">
                  <c:v>863.3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F7-46F9-8408-B438E1DF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357776"/>
        <c:axId val="1973366416"/>
      </c:barChart>
      <c:lineChart>
        <c:grouping val="standard"/>
        <c:varyColors val="0"/>
        <c:ser>
          <c:idx val="2"/>
          <c:order val="2"/>
          <c:tx>
            <c:strRef>
              <c:f>'21.B.'!$Q$5</c:f>
              <c:strCache>
                <c:ptCount val="1"/>
                <c:pt idx="0">
                  <c:v>ETFs (avg. 2012-21)</c:v>
                </c:pt>
              </c:strCache>
            </c:strRef>
          </c:tx>
          <c:spPr>
            <a:ln w="76200" cap="rnd">
              <a:solidFill>
                <a:srgbClr val="F78D28"/>
              </a:solidFill>
              <a:round/>
            </a:ln>
            <a:effectLst/>
          </c:spPr>
          <c:marker>
            <c:symbol val="none"/>
          </c:marker>
          <c:cat>
            <c:numRef>
              <c:f>'21.B.'!$R$2:$U$2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'21.B.'!$R$5:$U$5</c:f>
              <c:numCache>
                <c:formatCode>#,##0</c:formatCode>
                <c:ptCount val="4"/>
                <c:pt idx="0">
                  <c:v>106.9</c:v>
                </c:pt>
                <c:pt idx="1">
                  <c:v>106.9</c:v>
                </c:pt>
                <c:pt idx="2">
                  <c:v>106.9</c:v>
                </c:pt>
                <c:pt idx="3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7-46F9-8408-B438E1DFFDA5}"/>
            </c:ext>
          </c:extLst>
        </c:ser>
        <c:ser>
          <c:idx val="3"/>
          <c:order val="3"/>
          <c:tx>
            <c:strRef>
              <c:f>'21.B.'!$Q$6</c:f>
              <c:strCache>
                <c:ptCount val="1"/>
                <c:pt idx="0">
                  <c:v>Central banks (avg. 2012-21)</c:v>
                </c:pt>
              </c:strCache>
            </c:strRef>
          </c:tx>
          <c:spPr>
            <a:ln w="76200" cap="rnd">
              <a:solidFill>
                <a:srgbClr val="FDB714"/>
              </a:solidFill>
              <a:round/>
            </a:ln>
            <a:effectLst/>
          </c:spPr>
          <c:marker>
            <c:symbol val="none"/>
          </c:marker>
          <c:cat>
            <c:numRef>
              <c:f>'21.B.'!$R$2:$U$2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'21.B.'!$R$6:$U$6</c:f>
              <c:numCache>
                <c:formatCode>#,##0</c:formatCode>
                <c:ptCount val="4"/>
                <c:pt idx="0">
                  <c:v>511.9</c:v>
                </c:pt>
                <c:pt idx="1">
                  <c:v>511.9</c:v>
                </c:pt>
                <c:pt idx="2">
                  <c:v>511.9</c:v>
                </c:pt>
                <c:pt idx="3">
                  <c:v>511.9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7-46F9-8408-B438E1DF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357776"/>
        <c:axId val="1973366416"/>
      </c:lineChart>
      <c:catAx>
        <c:axId val="19733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Tons</a:t>
                </a:r>
              </a:p>
            </c:rich>
          </c:tx>
          <c:layout>
            <c:manualLayout>
              <c:xMode val="edge"/>
              <c:yMode val="edge"/>
              <c:x val="1.0962926509186371E-2"/>
              <c:y val="1.07314085739281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3366416"/>
        <c:crosses val="autoZero"/>
        <c:auto val="1"/>
        <c:lblAlgn val="ctr"/>
        <c:lblOffset val="100"/>
        <c:noMultiLvlLbl val="0"/>
      </c:catAx>
      <c:valAx>
        <c:axId val="197336641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33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174573290160093E-2"/>
          <c:y val="3.0089494128304365E-2"/>
          <c:w val="0.95482542670983994"/>
          <c:h val="0.26909781612226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41962135850687"/>
          <c:y val="0.13674217608500003"/>
          <c:w val="0.82630790380636643"/>
          <c:h val="0.749304601617069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'21.C.'!#REF!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'21.C.'!$R$2:$U$2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  <c:extLst xmlns:c15="http://schemas.microsoft.com/office/drawing/2012/chart"/>
            </c:numRef>
          </c:cat>
          <c:val>
            <c:numRef>
              <c:f>'21.C.'!#REF!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354-465B-B17E-3A57138D4BD9}"/>
            </c:ext>
          </c:extLst>
        </c:ser>
        <c:ser>
          <c:idx val="1"/>
          <c:order val="1"/>
          <c:tx>
            <c:strRef>
              <c:f>'21.C.'!$Q$3</c:f>
              <c:strCache>
                <c:ptCount val="1"/>
                <c:pt idx="0">
                  <c:v>   Recycled gold</c:v>
                </c:pt>
              </c:strCache>
            </c:strRef>
          </c:tx>
          <c:spPr>
            <a:solidFill>
              <a:schemeClr val="accent1"/>
            </a:solidFill>
            <a:ln w="76200">
              <a:noFill/>
            </a:ln>
            <a:effectLst/>
          </c:spPr>
          <c:invertIfNegative val="0"/>
          <c:cat>
            <c:numRef>
              <c:f>'21.C.'!$R$2:$U$2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'21.C.'!$R$3:$U$3</c:f>
              <c:numCache>
                <c:formatCode>General</c:formatCode>
                <c:ptCount val="4"/>
                <c:pt idx="0">
                  <c:v>1136.0999999999999</c:v>
                </c:pt>
                <c:pt idx="1">
                  <c:v>1233.5999999999999</c:v>
                </c:pt>
                <c:pt idx="2">
                  <c:v>1365.3</c:v>
                </c:pt>
                <c:pt idx="3">
                  <c:v>1404.3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4-465B-B17E-3A57138D4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80332704"/>
        <c:axId val="1680318784"/>
        <c:extLst/>
      </c:barChart>
      <c:catAx>
        <c:axId val="16803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0318784"/>
        <c:crosses val="autoZero"/>
        <c:auto val="1"/>
        <c:lblAlgn val="ctr"/>
        <c:lblOffset val="100"/>
        <c:noMultiLvlLbl val="0"/>
      </c:catAx>
      <c:valAx>
        <c:axId val="16803187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03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77403141169724"/>
          <c:y val="0.1182801938993626"/>
          <c:w val="0.7213506428801939"/>
          <c:h val="0.69866053044764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'21.D.'!$Q$3</c:f>
              <c:strCache>
                <c:ptCount val="1"/>
                <c:pt idx="0">
                  <c:v>2026 April forecasts</c:v>
                </c:pt>
              </c:strCache>
            </c:strRef>
          </c:tx>
          <c:spPr>
            <a:solidFill>
              <a:srgbClr val="002345"/>
            </a:solidFill>
            <a:ln w="762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'21.D.'!$R$9:$T$9</c:f>
                <c:numCache>
                  <c:formatCode>General</c:formatCode>
                  <c:ptCount val="3"/>
                  <c:pt idx="0">
                    <c:v>646.1</c:v>
                  </c:pt>
                  <c:pt idx="1">
                    <c:v>702.3</c:v>
                  </c:pt>
                </c:numCache>
              </c:numRef>
            </c:plus>
            <c:minus>
              <c:numRef>
                <c:f>'21.D.'!$R$11:$T$11</c:f>
                <c:numCache>
                  <c:formatCode>General</c:formatCode>
                  <c:ptCount val="3"/>
                  <c:pt idx="0">
                    <c:v>371.6</c:v>
                  </c:pt>
                  <c:pt idx="1">
                    <c:v>208.6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'21.D.'!$R$2:$T$2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 (RHS)</c:v>
                </c:pt>
              </c:strCache>
            </c:strRef>
          </c:cat>
          <c:val>
            <c:numRef>
              <c:f>'21.D.'!$R$3:$T$3</c:f>
              <c:numCache>
                <c:formatCode>General</c:formatCode>
                <c:ptCount val="3"/>
                <c:pt idx="0">
                  <c:v>4700</c:v>
                </c:pt>
                <c:pt idx="1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E-4AF6-9D37-FA5081EA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4375536"/>
        <c:axId val="1784382256"/>
      </c:barChart>
      <c:barChart>
        <c:barDir val="col"/>
        <c:grouping val="clustered"/>
        <c:varyColors val="0"/>
        <c:ser>
          <c:idx val="1"/>
          <c:order val="1"/>
          <c:tx>
            <c:strRef>
              <c:f>'21.D.'!$Q$4</c:f>
              <c:strCache>
                <c:ptCount val="1"/>
              </c:strCache>
            </c:strRef>
          </c:tx>
          <c:spPr>
            <a:solidFill>
              <a:schemeClr val="accent1"/>
            </a:solidFill>
            <a:ln w="762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'21.D.'!$R$10:$T$10</c:f>
                <c:numCache>
                  <c:formatCode>General</c:formatCode>
                  <c:ptCount val="3"/>
                  <c:pt idx="2">
                    <c:v>28.5</c:v>
                  </c:pt>
                </c:numCache>
              </c:numRef>
            </c:plus>
            <c:minus>
              <c:numRef>
                <c:f>'21.D.'!$R$12:$T$12</c:f>
                <c:numCache>
                  <c:formatCode>General</c:formatCode>
                  <c:ptCount val="3"/>
                  <c:pt idx="2">
                    <c:v>5.8</c:v>
                  </c:pt>
                </c:numCache>
              </c:numRef>
            </c:minus>
            <c:spPr>
              <a:noFill/>
              <a:ln w="38100" cap="sq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'21.D.'!$R$2:$T$2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 (RHS)</c:v>
                </c:pt>
              </c:strCache>
            </c:strRef>
          </c:cat>
          <c:val>
            <c:numRef>
              <c:f>'21.D.'!$R$4:$T$4</c:f>
              <c:numCache>
                <c:formatCode>General</c:formatCode>
                <c:ptCount val="3"/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E-4AF6-9D37-FA5081EA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4371216"/>
        <c:axId val="1784381776"/>
      </c:barChart>
      <c:lineChart>
        <c:grouping val="standard"/>
        <c:varyColors val="0"/>
        <c:ser>
          <c:idx val="2"/>
          <c:order val="2"/>
          <c:tx>
            <c:strRef>
              <c:f>'21.D.'!$Q$5</c:f>
              <c:strCache>
                <c:ptCount val="1"/>
                <c:pt idx="0">
                  <c:v>2026 January forecasts</c:v>
                </c:pt>
              </c:strCache>
            </c:strRef>
          </c:tx>
          <c:spPr>
            <a:ln w="76200" cap="rnd">
              <a:noFill/>
              <a:round/>
            </a:ln>
            <a:effectLst/>
          </c:spPr>
          <c:marker>
            <c:symbol val="diamond"/>
            <c:size val="25"/>
            <c:spPr>
              <a:solidFill>
                <a:schemeClr val="accent2"/>
              </a:solidFill>
              <a:ln w="76200">
                <a:noFill/>
              </a:ln>
              <a:effectLst/>
            </c:spPr>
          </c:marker>
          <c:val>
            <c:numRef>
              <c:f>'21.D.'!$R$5:$T$5</c:f>
              <c:numCache>
                <c:formatCode>General</c:formatCode>
                <c:ptCount val="3"/>
                <c:pt idx="0">
                  <c:v>3700</c:v>
                </c:pt>
                <c:pt idx="1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E-4AF6-9D37-FA5081EA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375536"/>
        <c:axId val="1784382256"/>
      </c:lineChart>
      <c:lineChart>
        <c:grouping val="standard"/>
        <c:varyColors val="0"/>
        <c:ser>
          <c:idx val="3"/>
          <c:order val="3"/>
          <c:spPr>
            <a:ln w="76200" cap="rnd">
              <a:solidFill>
                <a:srgbClr val="FDB714"/>
              </a:solidFill>
              <a:round/>
            </a:ln>
            <a:effectLst/>
          </c:spPr>
          <c:marker>
            <c:symbol val="diamond"/>
            <c:size val="20"/>
            <c:spPr>
              <a:solidFill>
                <a:schemeClr val="accent2"/>
              </a:solidFill>
              <a:ln w="76200">
                <a:noFill/>
              </a:ln>
              <a:effectLst/>
            </c:spPr>
          </c:marker>
          <c:val>
            <c:numRef>
              <c:f>'21.D.'!$R$6:$T$6</c:f>
              <c:numCache>
                <c:formatCode>General</c:formatCode>
                <c:ptCount val="3"/>
                <c:pt idx="2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E-4AF6-9D37-FA5081EA03CF}"/>
            </c:ext>
          </c:extLst>
        </c:ser>
        <c:ser>
          <c:idx val="4"/>
          <c:order val="4"/>
          <c:tx>
            <c:strRef>
              <c:f>'21.D.'!$Q$13</c:f>
              <c:strCache>
                <c:ptCount val="1"/>
                <c:pt idx="0">
                  <c:v>Forecast range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val>
            <c:numRef>
              <c:f>'21.D.'!$R$13:$T$13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CE-4AF6-9D37-FA5081EA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371216"/>
        <c:axId val="1784381776"/>
      </c:lineChart>
      <c:catAx>
        <c:axId val="178437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4382256"/>
        <c:crosses val="autoZero"/>
        <c:auto val="1"/>
        <c:lblAlgn val="ctr"/>
        <c:lblOffset val="100"/>
        <c:noMultiLvlLbl val="0"/>
      </c:catAx>
      <c:valAx>
        <c:axId val="1784382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4375536"/>
        <c:crosses val="autoZero"/>
        <c:crossBetween val="between"/>
      </c:valAx>
      <c:valAx>
        <c:axId val="17843817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4371216"/>
        <c:crosses val="max"/>
        <c:crossBetween val="between"/>
      </c:valAx>
      <c:catAx>
        <c:axId val="178437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381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1831334263295402"/>
          <c:y val="3.7222956423055608E-3"/>
          <c:w val="0.59052471566054243"/>
          <c:h val="0.30462769276582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40820</xdr:rowOff>
    </xdr:from>
    <xdr:to>
      <xdr:col>15</xdr:col>
      <xdr:colOff>27214</xdr:colOff>
      <xdr:row>31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FA266-72F1-4ACF-95DB-20943F72B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0.00552</cdr:x>
      <cdr:y>0.00734</cdr:y>
    </cdr:from>
    <cdr:to>
      <cdr:x>0.7337</cdr:x>
      <cdr:y>0.121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9217CE6-36EB-00C7-3615-52614711EF90}"/>
            </a:ext>
          </a:extLst>
        </cdr:cNvPr>
        <cdr:cNvSpPr txBox="1"/>
      </cdr:nvSpPr>
      <cdr:spPr>
        <a:xfrm xmlns:a="http://schemas.openxmlformats.org/drawingml/2006/main">
          <a:off x="50650" y="51419"/>
          <a:ext cx="6684886" cy="796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3200" kern="1200">
              <a:latin typeface="Arial" panose="020B0604020202020204" pitchFamily="34" charset="0"/>
            </a:rPr>
            <a:t>Index, 100 = Dec 2024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317499</xdr:rowOff>
    </xdr:from>
    <xdr:to>
      <xdr:col>15</xdr:col>
      <xdr:colOff>27214</xdr:colOff>
      <xdr:row>31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F7999-E9D4-411D-8B33-81F6C15C6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571500</xdr:colOff>
      <xdr:row>31</xdr:row>
      <xdr:rowOff>204108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12F40-8271-4C0C-BA73-166CA8C06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0.00552</cdr:x>
      <cdr:y>0.00734</cdr:y>
    </cdr:from>
    <cdr:to>
      <cdr:x>0.19862</cdr:x>
      <cdr:y>0.19083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C4E734-5FFD-FBEE-F876-B232ED30A9C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78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3200" kern="1200">
              <a:latin typeface="Arial" panose="020B0604020202020204" pitchFamily="34" charset="0"/>
            </a:rPr>
            <a:t>Tons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571501</xdr:colOff>
      <xdr:row>30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9F541-8D06-4AB4-9791-CF3ABA2D3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0.1931</cdr:x>
      <cdr:y>0.08151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4ADBFC-42D1-D7F7-193C-ACA67B7EB2F6}"/>
            </a:ext>
          </a:extLst>
        </cdr:cNvPr>
        <cdr:cNvSpPr txBox="1"/>
      </cdr:nvSpPr>
      <cdr:spPr>
        <a:xfrm xmlns:a="http://schemas.openxmlformats.org/drawingml/2006/main">
          <a:off x="0" y="0"/>
          <a:ext cx="1773578" cy="5562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3200" kern="1200">
              <a:latin typeface="Arial" panose="020B0604020202020204" pitchFamily="34" charset="0"/>
            </a:rPr>
            <a:t>US$/toz</a:t>
          </a:r>
        </a:p>
      </cdr:txBody>
    </cdr:sp>
  </cdr:relSizeAnchor>
  <cdr:relSizeAnchor xmlns:cdr="http://schemas.openxmlformats.org/drawingml/2006/chartDrawing">
    <cdr:from>
      <cdr:x>0.8069</cdr:x>
      <cdr:y>0</cdr:y>
    </cdr:from>
    <cdr:to>
      <cdr:x>1</cdr:x>
      <cdr:y>0.08151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937F1A-8765-8BE8-AC00-B99574CC075A}"/>
            </a:ext>
          </a:extLst>
        </cdr:cNvPr>
        <cdr:cNvSpPr txBox="1"/>
      </cdr:nvSpPr>
      <cdr:spPr>
        <a:xfrm xmlns:a="http://schemas.openxmlformats.org/drawingml/2006/main">
          <a:off x="7411026" y="0"/>
          <a:ext cx="1773578" cy="5562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3200" kern="1200">
              <a:latin typeface="Arial" panose="020B0604020202020204" pitchFamily="34" charset="0"/>
            </a:rPr>
            <a:t>US$/toz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Custom 21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02345"/>
      </a:accent1>
      <a:accent2>
        <a:srgbClr val="EB1C2D"/>
      </a:accent2>
      <a:accent3>
        <a:srgbClr val="F78D28"/>
      </a:accent3>
      <a:accent4>
        <a:srgbClr val="FDB714"/>
      </a:accent4>
      <a:accent5>
        <a:srgbClr val="00AB51"/>
      </a:accent5>
      <a:accent6>
        <a:srgbClr val="00ADE4"/>
      </a:accent6>
      <a:hlink>
        <a:srgbClr val="872B90"/>
      </a:hlink>
      <a:folHlink>
        <a:srgbClr val="872B9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2B36-C4F5-435A-8AC9-15CBC6CB74C2}">
  <sheetPr>
    <tabColor rgb="FFFF0000"/>
  </sheetPr>
  <dimension ref="A1:G8"/>
  <sheetViews>
    <sheetView tabSelected="1" zoomScale="70" zoomScaleNormal="70" workbookViewId="0"/>
  </sheetViews>
  <sheetFormatPr defaultRowHeight="14.5"/>
  <cols>
    <col min="1" max="1" width="58.08984375" customWidth="1"/>
    <col min="17" max="17" width="10.26953125" bestFit="1" customWidth="1"/>
    <col min="18" max="19" width="9.81640625" bestFit="1" customWidth="1"/>
    <col min="20" max="20" width="9.26953125" bestFit="1" customWidth="1"/>
  </cols>
  <sheetData>
    <row r="1" spans="1:7" ht="18">
      <c r="A1" s="10" t="s">
        <v>29</v>
      </c>
    </row>
    <row r="2" spans="1:7" ht="17.5">
      <c r="A2" s="6" t="str">
        <f>'21.A.'!A1</f>
        <v>Figure 21.A. Precious metal prices</v>
      </c>
      <c r="B2" s="3"/>
      <c r="C2" s="3"/>
      <c r="D2" s="3"/>
      <c r="E2" s="3"/>
      <c r="F2" s="3"/>
      <c r="G2" s="3"/>
    </row>
    <row r="3" spans="1:7" ht="17.5">
      <c r="A3" s="6" t="str">
        <f>'21.B.'!A1</f>
        <v>Figure 21.B. Gold demand</v>
      </c>
      <c r="B3" s="3"/>
      <c r="C3" s="3"/>
      <c r="D3" s="3"/>
      <c r="E3" s="3"/>
      <c r="F3" s="3"/>
      <c r="G3" s="3"/>
    </row>
    <row r="4" spans="1:7" ht="17.5">
      <c r="A4" s="6" t="str">
        <f>'21.C.'!A1</f>
        <v>Figure 21.C. Recycled gold supply</v>
      </c>
      <c r="B4" s="3"/>
      <c r="C4" s="3"/>
      <c r="D4" s="3"/>
      <c r="E4" s="3"/>
      <c r="F4" s="3"/>
      <c r="G4" s="3"/>
    </row>
    <row r="5" spans="1:7" ht="17.5">
      <c r="A5" s="6" t="str">
        <f>'21.D.'!A1</f>
        <v>Figure 21.D. Base metal price forecasts for 2026</v>
      </c>
      <c r="B5" s="3"/>
      <c r="C5" s="3"/>
      <c r="D5" s="3"/>
      <c r="E5" s="3"/>
      <c r="F5" s="3"/>
      <c r="G5" s="3"/>
    </row>
    <row r="6" spans="1:7" ht="17.5">
      <c r="A6" s="3"/>
      <c r="B6" s="3"/>
      <c r="C6" s="3"/>
      <c r="D6" s="3"/>
      <c r="E6" s="3"/>
      <c r="F6" s="3"/>
      <c r="G6" s="3"/>
    </row>
    <row r="7" spans="1:7" ht="17.5">
      <c r="A7" s="3"/>
      <c r="B7" s="3"/>
      <c r="C7" s="3"/>
      <c r="D7" s="3"/>
      <c r="E7" s="3"/>
      <c r="F7" s="3"/>
      <c r="G7" s="3"/>
    </row>
    <row r="8" spans="1:7" ht="17.5">
      <c r="A8" s="3"/>
      <c r="B8" s="3"/>
      <c r="C8" s="3"/>
      <c r="D8" s="3"/>
      <c r="E8" s="3"/>
      <c r="F8" s="3"/>
      <c r="G8" s="3"/>
    </row>
  </sheetData>
  <hyperlinks>
    <hyperlink ref="A2" location="'21.A.'!A1" display="'21.A.'!A1" xr:uid="{3924F320-1F88-4428-A674-DA6E6E86CFB6}"/>
    <hyperlink ref="A3" location="'21.B.'!A1" display="'21.B.'!A1" xr:uid="{1252A951-7371-49F2-A48B-E2BFD09AEE62}"/>
    <hyperlink ref="A4" location="'21.C.'!A1" display="'21.C.'!A1" xr:uid="{0F61AC4A-9978-497A-944E-C4A2A7C53C0C}"/>
    <hyperlink ref="A5" location="'21.D.'!A1" display="'21.D.'!A1" xr:uid="{CC2DA045-2E1E-4210-9238-70FAEEA500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AA94-469A-4E95-9C86-FE8ADB49699C}">
  <dimension ref="A1:U89"/>
  <sheetViews>
    <sheetView zoomScale="70" zoomScaleNormal="70" workbookViewId="0"/>
  </sheetViews>
  <sheetFormatPr defaultRowHeight="14.5"/>
  <cols>
    <col min="17" max="17" width="13.81640625" bestFit="1" customWidth="1"/>
    <col min="18" max="18" width="10" bestFit="1" customWidth="1"/>
    <col min="19" max="19" width="11.7265625" bestFit="1" customWidth="1"/>
    <col min="20" max="20" width="9.453125" bestFit="1" customWidth="1"/>
    <col min="21" max="21" width="9.26953125" bestFit="1" customWidth="1"/>
  </cols>
  <sheetData>
    <row r="1" spans="1:21" ht="25">
      <c r="A1" s="4" t="s">
        <v>7</v>
      </c>
      <c r="Q1" s="3"/>
      <c r="R1" s="2"/>
      <c r="S1" s="2"/>
      <c r="T1" s="3"/>
    </row>
    <row r="2" spans="1:21" ht="17.5">
      <c r="Q2" s="3"/>
      <c r="R2" s="3" t="s">
        <v>8</v>
      </c>
      <c r="S2" s="3" t="s">
        <v>9</v>
      </c>
      <c r="T2" s="3" t="s">
        <v>10</v>
      </c>
      <c r="U2" s="3"/>
    </row>
    <row r="3" spans="1:21" ht="17.5">
      <c r="M3" s="1"/>
      <c r="Q3" s="11">
        <v>43466</v>
      </c>
      <c r="R3" s="9">
        <v>48.8</v>
      </c>
      <c r="S3" s="9">
        <v>86</v>
      </c>
      <c r="T3" s="9">
        <v>50.8</v>
      </c>
      <c r="U3" s="3">
        <v>100</v>
      </c>
    </row>
    <row r="4" spans="1:21" ht="17.5">
      <c r="Q4" s="11">
        <v>43497</v>
      </c>
      <c r="R4" s="9">
        <v>49.9</v>
      </c>
      <c r="S4" s="9">
        <v>87.2</v>
      </c>
      <c r="T4" s="9">
        <v>51.4</v>
      </c>
      <c r="U4" s="3">
        <v>100</v>
      </c>
    </row>
    <row r="5" spans="1:21" ht="17.5">
      <c r="Q5" s="11">
        <v>43525</v>
      </c>
      <c r="R5" s="9">
        <v>49.1</v>
      </c>
      <c r="S5" s="9">
        <v>89.9</v>
      </c>
      <c r="T5" s="9">
        <v>49.7</v>
      </c>
      <c r="U5" s="3">
        <v>100</v>
      </c>
    </row>
    <row r="6" spans="1:21" ht="17.5">
      <c r="Q6" s="11">
        <v>43556</v>
      </c>
      <c r="R6" s="9">
        <v>48.6</v>
      </c>
      <c r="S6" s="9">
        <v>94.6</v>
      </c>
      <c r="T6" s="9">
        <v>48.9</v>
      </c>
      <c r="U6" s="3">
        <v>100</v>
      </c>
    </row>
    <row r="7" spans="1:21" ht="17.5">
      <c r="Q7" s="11">
        <v>43586</v>
      </c>
      <c r="R7" s="9">
        <v>48.5</v>
      </c>
      <c r="S7" s="9">
        <v>88.9</v>
      </c>
      <c r="T7" s="9">
        <v>47.7</v>
      </c>
      <c r="U7" s="3">
        <v>100</v>
      </c>
    </row>
    <row r="8" spans="1:21" ht="17.5">
      <c r="Q8" s="11">
        <v>43617</v>
      </c>
      <c r="R8" s="9">
        <v>51.3</v>
      </c>
      <c r="S8" s="9">
        <v>86.2</v>
      </c>
      <c r="T8" s="9">
        <v>48.9</v>
      </c>
      <c r="U8" s="3">
        <v>100</v>
      </c>
    </row>
    <row r="9" spans="1:21" ht="17.5">
      <c r="Q9" s="11">
        <v>43647</v>
      </c>
      <c r="R9" s="9">
        <v>53.4</v>
      </c>
      <c r="S9" s="9">
        <v>90</v>
      </c>
      <c r="T9" s="9">
        <v>51.3</v>
      </c>
      <c r="U9" s="3">
        <v>100</v>
      </c>
    </row>
    <row r="10" spans="1:21" ht="17.5">
      <c r="Q10" s="11">
        <v>43678</v>
      </c>
      <c r="R10" s="9">
        <v>56.7</v>
      </c>
      <c r="S10" s="9">
        <v>91.6</v>
      </c>
      <c r="T10" s="9">
        <v>56</v>
      </c>
      <c r="U10" s="3">
        <v>100</v>
      </c>
    </row>
    <row r="11" spans="1:21" ht="17.5">
      <c r="Q11" s="11">
        <v>43709</v>
      </c>
      <c r="R11" s="9">
        <v>57</v>
      </c>
      <c r="S11" s="9">
        <v>100.7</v>
      </c>
      <c r="T11" s="9">
        <v>59</v>
      </c>
      <c r="U11" s="3">
        <v>100</v>
      </c>
    </row>
    <row r="12" spans="1:21" ht="17.5">
      <c r="Q12" s="11">
        <v>43739</v>
      </c>
      <c r="R12" s="9">
        <v>56.5</v>
      </c>
      <c r="S12" s="9">
        <v>95.7</v>
      </c>
      <c r="T12" s="9">
        <v>57.4</v>
      </c>
      <c r="U12" s="3">
        <v>100</v>
      </c>
    </row>
    <row r="13" spans="1:21" ht="17.5">
      <c r="Q13" s="11">
        <v>43770</v>
      </c>
      <c r="R13" s="9">
        <v>55.5</v>
      </c>
      <c r="S13" s="9">
        <v>96.2</v>
      </c>
      <c r="T13" s="9">
        <v>55.8</v>
      </c>
      <c r="U13" s="3">
        <v>100</v>
      </c>
    </row>
    <row r="14" spans="1:21" ht="17.5">
      <c r="Q14" s="11">
        <v>43800</v>
      </c>
      <c r="R14" s="9">
        <v>55.9</v>
      </c>
      <c r="S14" s="9">
        <v>98.5</v>
      </c>
      <c r="T14" s="9">
        <v>55.7</v>
      </c>
      <c r="U14" s="3">
        <v>100</v>
      </c>
    </row>
    <row r="15" spans="1:21" ht="17.5">
      <c r="Q15" s="11">
        <v>43831</v>
      </c>
      <c r="R15" s="9">
        <v>58.9</v>
      </c>
      <c r="S15" s="9">
        <v>105.3</v>
      </c>
      <c r="T15" s="9">
        <v>58.4</v>
      </c>
      <c r="U15" s="3">
        <v>100</v>
      </c>
    </row>
    <row r="16" spans="1:21" ht="17.5">
      <c r="Q16" s="11">
        <v>43862</v>
      </c>
      <c r="R16" s="9">
        <v>60.3</v>
      </c>
      <c r="S16" s="9">
        <v>102.5</v>
      </c>
      <c r="T16" s="9">
        <v>58.1</v>
      </c>
      <c r="U16" s="3">
        <v>100</v>
      </c>
    </row>
    <row r="17" spans="17:21" ht="17.5">
      <c r="Q17" s="11">
        <v>43891</v>
      </c>
      <c r="R17" s="9">
        <v>60.1</v>
      </c>
      <c r="S17" s="9">
        <v>80.900000000000006</v>
      </c>
      <c r="T17" s="9">
        <v>48.4</v>
      </c>
      <c r="U17" s="3">
        <v>100</v>
      </c>
    </row>
    <row r="18" spans="17:21" ht="17.5">
      <c r="Q18" s="11">
        <v>43922</v>
      </c>
      <c r="R18" s="9">
        <v>63.6</v>
      </c>
      <c r="S18" s="9">
        <v>80.400000000000006</v>
      </c>
      <c r="T18" s="9">
        <v>49</v>
      </c>
      <c r="U18" s="3">
        <v>100</v>
      </c>
    </row>
    <row r="19" spans="17:21" ht="17.5">
      <c r="Q19" s="11">
        <v>43952</v>
      </c>
      <c r="R19" s="9">
        <v>64.8</v>
      </c>
      <c r="S19" s="9">
        <v>84.3</v>
      </c>
      <c r="T19" s="9">
        <v>52.8</v>
      </c>
      <c r="U19" s="3">
        <v>100</v>
      </c>
    </row>
    <row r="20" spans="17:21" ht="17.5">
      <c r="Q20" s="11">
        <v>43983</v>
      </c>
      <c r="R20" s="9">
        <v>65.400000000000006</v>
      </c>
      <c r="S20" s="9">
        <v>87.5</v>
      </c>
      <c r="T20" s="9">
        <v>57.6</v>
      </c>
      <c r="U20" s="3">
        <v>100</v>
      </c>
    </row>
    <row r="21" spans="17:21" ht="17.5">
      <c r="Q21" s="11">
        <v>44013</v>
      </c>
      <c r="R21" s="9">
        <v>69.7</v>
      </c>
      <c r="S21" s="9">
        <v>92.2</v>
      </c>
      <c r="T21" s="9">
        <v>67.099999999999994</v>
      </c>
      <c r="U21" s="3">
        <v>100</v>
      </c>
    </row>
    <row r="22" spans="17:21" ht="17.5">
      <c r="Q22" s="11">
        <v>44044</v>
      </c>
      <c r="R22" s="9">
        <v>74.3</v>
      </c>
      <c r="S22" s="9">
        <v>100.3</v>
      </c>
      <c r="T22" s="9">
        <v>87.8</v>
      </c>
      <c r="U22" s="3">
        <v>100</v>
      </c>
    </row>
    <row r="23" spans="17:21" ht="17.5">
      <c r="Q23" s="11">
        <v>44075</v>
      </c>
      <c r="R23" s="9">
        <v>72.599999999999994</v>
      </c>
      <c r="S23" s="9">
        <v>96.8</v>
      </c>
      <c r="T23" s="9">
        <v>83.7</v>
      </c>
      <c r="U23" s="3">
        <v>100</v>
      </c>
    </row>
    <row r="24" spans="17:21" ht="17.5">
      <c r="Q24" s="11">
        <v>44105</v>
      </c>
      <c r="R24" s="9">
        <v>71.8</v>
      </c>
      <c r="S24" s="9">
        <v>93.4</v>
      </c>
      <c r="T24" s="9">
        <v>78.8</v>
      </c>
      <c r="U24" s="3">
        <v>100</v>
      </c>
    </row>
    <row r="25" spans="17:21" ht="17.5">
      <c r="Q25" s="11">
        <v>44136</v>
      </c>
      <c r="R25" s="9">
        <v>70.5</v>
      </c>
      <c r="S25" s="9">
        <v>97.2</v>
      </c>
      <c r="T25" s="9">
        <v>78.3</v>
      </c>
      <c r="U25" s="3">
        <v>100</v>
      </c>
    </row>
    <row r="26" spans="17:21" ht="17.5">
      <c r="Q26" s="11">
        <v>44166</v>
      </c>
      <c r="R26" s="9">
        <v>70.2</v>
      </c>
      <c r="S26" s="9">
        <v>109.6</v>
      </c>
      <c r="T26" s="9">
        <v>81.2</v>
      </c>
      <c r="U26" s="3">
        <v>100</v>
      </c>
    </row>
    <row r="27" spans="17:21" ht="17.5">
      <c r="Q27" s="11">
        <v>44197</v>
      </c>
      <c r="R27" s="9">
        <v>70.5</v>
      </c>
      <c r="S27" s="9">
        <v>116.3</v>
      </c>
      <c r="T27" s="9">
        <v>84.1</v>
      </c>
      <c r="U27" s="3">
        <v>100</v>
      </c>
    </row>
    <row r="28" spans="17:21" ht="17.5">
      <c r="Q28" s="11">
        <v>44228</v>
      </c>
      <c r="R28" s="9">
        <v>68.3</v>
      </c>
      <c r="S28" s="9">
        <v>128.69999999999999</v>
      </c>
      <c r="T28" s="9">
        <v>88.7</v>
      </c>
      <c r="U28" s="3">
        <v>100</v>
      </c>
    </row>
    <row r="29" spans="17:21" ht="17.5">
      <c r="Q29" s="11">
        <v>44256</v>
      </c>
      <c r="R29" s="9">
        <v>64.900000000000006</v>
      </c>
      <c r="S29" s="9">
        <v>125.9</v>
      </c>
      <c r="T29" s="9">
        <v>83.4</v>
      </c>
      <c r="U29" s="3">
        <v>100</v>
      </c>
    </row>
    <row r="30" spans="17:21" ht="17.5">
      <c r="Q30" s="11">
        <v>44287</v>
      </c>
      <c r="R30" s="9">
        <v>66.5</v>
      </c>
      <c r="S30" s="9">
        <v>128.9</v>
      </c>
      <c r="T30" s="9">
        <v>83.5</v>
      </c>
      <c r="U30" s="3">
        <v>100</v>
      </c>
    </row>
    <row r="31" spans="17:21" ht="17.5">
      <c r="Q31" s="11">
        <v>44317</v>
      </c>
      <c r="R31" s="9">
        <v>69.900000000000006</v>
      </c>
      <c r="S31" s="9">
        <v>129.4</v>
      </c>
      <c r="T31" s="9">
        <v>89.4</v>
      </c>
      <c r="U31" s="3">
        <v>100</v>
      </c>
    </row>
    <row r="32" spans="17:21" ht="17.5">
      <c r="Q32" s="11">
        <v>44348</v>
      </c>
      <c r="R32" s="9">
        <v>69.3</v>
      </c>
      <c r="S32" s="9">
        <v>119.8</v>
      </c>
      <c r="T32" s="9">
        <v>87.7</v>
      </c>
      <c r="U32" s="3">
        <v>100</v>
      </c>
    </row>
    <row r="33" spans="1:21" ht="17.5">
      <c r="Q33" s="11">
        <v>44378</v>
      </c>
      <c r="R33" s="9">
        <v>68.3</v>
      </c>
      <c r="S33" s="9">
        <v>115.8</v>
      </c>
      <c r="T33" s="9">
        <v>83.5</v>
      </c>
      <c r="U33" s="3">
        <v>100</v>
      </c>
    </row>
    <row r="34" spans="1:21" ht="17.5">
      <c r="A34" s="3" t="s">
        <v>0</v>
      </c>
      <c r="Q34" s="11">
        <v>44409</v>
      </c>
      <c r="R34" s="9">
        <v>67.400000000000006</v>
      </c>
      <c r="S34" s="9">
        <v>107.6</v>
      </c>
      <c r="T34" s="9">
        <v>78</v>
      </c>
      <c r="U34" s="3">
        <v>100</v>
      </c>
    </row>
    <row r="35" spans="1:21" ht="17.5">
      <c r="A35" s="3" t="s">
        <v>25</v>
      </c>
      <c r="Q35" s="11">
        <v>44440</v>
      </c>
      <c r="R35" s="9">
        <v>67</v>
      </c>
      <c r="S35" s="9">
        <v>103.8</v>
      </c>
      <c r="T35" s="9">
        <v>75.400000000000006</v>
      </c>
      <c r="U35" s="3">
        <v>100</v>
      </c>
    </row>
    <row r="36" spans="1:21" ht="17.5">
      <c r="Q36" s="11">
        <v>44470</v>
      </c>
      <c r="R36" s="9">
        <v>67.099999999999994</v>
      </c>
      <c r="S36" s="9">
        <v>108.4</v>
      </c>
      <c r="T36" s="9">
        <v>76.099999999999994</v>
      </c>
      <c r="U36" s="3">
        <v>100</v>
      </c>
    </row>
    <row r="37" spans="1:21" ht="17.5">
      <c r="A37" s="7" t="s">
        <v>1</v>
      </c>
      <c r="Q37" s="11">
        <v>44501</v>
      </c>
      <c r="R37" s="9">
        <v>68.8</v>
      </c>
      <c r="S37" s="9">
        <v>110.7</v>
      </c>
      <c r="T37" s="9">
        <v>78.599999999999994</v>
      </c>
      <c r="U37" s="3">
        <v>100</v>
      </c>
    </row>
    <row r="38" spans="1:21" ht="17.5">
      <c r="Q38" s="11">
        <v>44531</v>
      </c>
      <c r="R38" s="9">
        <v>67.599999999999994</v>
      </c>
      <c r="S38" s="9">
        <v>100.7</v>
      </c>
      <c r="T38" s="9">
        <v>73.2</v>
      </c>
      <c r="U38" s="3">
        <v>100</v>
      </c>
    </row>
    <row r="39" spans="1:21" ht="17.5">
      <c r="Q39" s="11">
        <v>44562</v>
      </c>
      <c r="R39" s="9">
        <v>68.599999999999994</v>
      </c>
      <c r="S39" s="9">
        <v>106</v>
      </c>
      <c r="T39" s="9">
        <v>75.3</v>
      </c>
      <c r="U39" s="3">
        <v>100</v>
      </c>
    </row>
    <row r="40" spans="1:21" ht="17.5">
      <c r="Q40" s="11">
        <v>44593</v>
      </c>
      <c r="R40" s="9">
        <v>70.099999999999994</v>
      </c>
      <c r="S40" s="9">
        <v>111.9</v>
      </c>
      <c r="T40" s="9">
        <v>76.5</v>
      </c>
      <c r="U40" s="3">
        <v>100</v>
      </c>
    </row>
    <row r="41" spans="1:21" ht="17.5">
      <c r="Q41" s="11">
        <v>44621</v>
      </c>
      <c r="R41" s="9">
        <v>73.599999999999994</v>
      </c>
      <c r="S41" s="9">
        <v>111.2</v>
      </c>
      <c r="T41" s="9">
        <v>82.3</v>
      </c>
      <c r="U41" s="3">
        <v>100</v>
      </c>
    </row>
    <row r="42" spans="1:21" ht="17.5">
      <c r="Q42" s="11">
        <v>44652</v>
      </c>
      <c r="R42" s="9">
        <v>73.099999999999994</v>
      </c>
      <c r="S42" s="9">
        <v>102.9</v>
      </c>
      <c r="T42" s="9">
        <v>79.8</v>
      </c>
      <c r="U42" s="3">
        <v>100</v>
      </c>
    </row>
    <row r="43" spans="1:21" ht="17.5">
      <c r="Q43" s="11">
        <v>44682</v>
      </c>
      <c r="R43" s="9">
        <v>69.8</v>
      </c>
      <c r="S43" s="9">
        <v>102.2</v>
      </c>
      <c r="T43" s="9">
        <v>71.2</v>
      </c>
      <c r="U43" s="3">
        <v>100</v>
      </c>
    </row>
    <row r="44" spans="1:21" ht="17.5">
      <c r="Q44" s="11">
        <v>44713</v>
      </c>
      <c r="R44" s="9">
        <v>69.400000000000006</v>
      </c>
      <c r="S44" s="9">
        <v>102</v>
      </c>
      <c r="T44" s="9">
        <v>70.099999999999994</v>
      </c>
      <c r="U44" s="3">
        <v>100</v>
      </c>
    </row>
    <row r="45" spans="1:21" ht="17.5">
      <c r="Q45" s="11">
        <v>44743</v>
      </c>
      <c r="R45" s="9">
        <v>65.400000000000006</v>
      </c>
      <c r="S45" s="9">
        <v>92.7</v>
      </c>
      <c r="T45" s="9">
        <v>62</v>
      </c>
      <c r="U45" s="3">
        <v>100</v>
      </c>
    </row>
    <row r="46" spans="1:21" ht="17.5">
      <c r="Q46" s="11">
        <v>44774</v>
      </c>
      <c r="R46" s="9">
        <v>66.599999999999994</v>
      </c>
      <c r="S46" s="9">
        <v>96.9</v>
      </c>
      <c r="T46" s="9">
        <v>64.099999999999994</v>
      </c>
      <c r="U46" s="3">
        <v>100</v>
      </c>
    </row>
    <row r="47" spans="1:21" ht="17.5">
      <c r="Q47" s="11">
        <v>44805</v>
      </c>
      <c r="R47" s="9">
        <v>63.5</v>
      </c>
      <c r="S47" s="9">
        <v>94</v>
      </c>
      <c r="T47" s="9">
        <v>61.6</v>
      </c>
      <c r="U47" s="3">
        <v>100</v>
      </c>
    </row>
    <row r="48" spans="1:21" ht="17.5">
      <c r="Q48" s="11">
        <v>44835</v>
      </c>
      <c r="R48" s="9">
        <v>62.9</v>
      </c>
      <c r="S48" s="9">
        <v>97.5</v>
      </c>
      <c r="T48" s="9">
        <v>63.1</v>
      </c>
      <c r="U48" s="3">
        <v>100</v>
      </c>
    </row>
    <row r="49" spans="17:21" ht="17.5">
      <c r="Q49" s="11">
        <v>44866</v>
      </c>
      <c r="R49" s="9">
        <v>65.099999999999994</v>
      </c>
      <c r="S49" s="9">
        <v>105.5</v>
      </c>
      <c r="T49" s="9">
        <v>68.3</v>
      </c>
      <c r="U49" s="3">
        <v>100</v>
      </c>
    </row>
    <row r="50" spans="17:21" ht="17.5">
      <c r="Q50" s="11">
        <v>44896</v>
      </c>
      <c r="R50" s="9">
        <v>67.900000000000006</v>
      </c>
      <c r="S50" s="9">
        <v>107.8</v>
      </c>
      <c r="T50" s="9">
        <v>75.8</v>
      </c>
      <c r="U50" s="3">
        <v>100</v>
      </c>
    </row>
    <row r="51" spans="17:21" ht="17.5">
      <c r="Q51" s="11">
        <v>44927</v>
      </c>
      <c r="R51" s="9">
        <v>71.7</v>
      </c>
      <c r="S51" s="9">
        <v>112.3</v>
      </c>
      <c r="T51" s="9">
        <v>76.900000000000006</v>
      </c>
      <c r="U51" s="3">
        <v>100</v>
      </c>
    </row>
    <row r="52" spans="17:21" ht="17.5">
      <c r="Q52" s="11">
        <v>44958</v>
      </c>
      <c r="R52" s="9">
        <v>70</v>
      </c>
      <c r="S52" s="9">
        <v>102.2</v>
      </c>
      <c r="T52" s="9">
        <v>71.3</v>
      </c>
      <c r="U52" s="3">
        <v>100</v>
      </c>
    </row>
    <row r="53" spans="17:21" ht="17.5">
      <c r="Q53" s="11">
        <v>44986</v>
      </c>
      <c r="R53" s="9">
        <v>72.2</v>
      </c>
      <c r="S53" s="9">
        <v>103.5</v>
      </c>
      <c r="T53" s="9">
        <v>71.400000000000006</v>
      </c>
      <c r="U53" s="3">
        <v>100</v>
      </c>
    </row>
    <row r="54" spans="17:21" ht="17.5">
      <c r="Q54" s="11">
        <v>45017</v>
      </c>
      <c r="R54" s="9">
        <v>75.5</v>
      </c>
      <c r="S54" s="9">
        <v>112</v>
      </c>
      <c r="T54" s="9">
        <v>81.3</v>
      </c>
      <c r="U54" s="3">
        <v>100</v>
      </c>
    </row>
    <row r="55" spans="17:21" ht="17.5">
      <c r="Q55" s="11">
        <v>45047</v>
      </c>
      <c r="R55" s="9">
        <v>75.2</v>
      </c>
      <c r="S55" s="9">
        <v>113.3</v>
      </c>
      <c r="T55" s="9">
        <v>78.900000000000006</v>
      </c>
      <c r="U55" s="3">
        <v>100</v>
      </c>
    </row>
    <row r="56" spans="17:21" ht="17.5">
      <c r="Q56" s="11">
        <v>45078</v>
      </c>
      <c r="R56" s="9">
        <v>73.400000000000006</v>
      </c>
      <c r="S56" s="9">
        <v>103.5</v>
      </c>
      <c r="T56" s="9">
        <v>76.099999999999994</v>
      </c>
      <c r="U56" s="3">
        <v>100</v>
      </c>
    </row>
    <row r="57" spans="17:21" ht="17.5">
      <c r="Q57" s="11">
        <v>45108</v>
      </c>
      <c r="R57" s="9">
        <v>73.7</v>
      </c>
      <c r="S57" s="9">
        <v>101.3</v>
      </c>
      <c r="T57" s="9">
        <v>78.8</v>
      </c>
      <c r="U57" s="3">
        <v>100</v>
      </c>
    </row>
    <row r="58" spans="17:21" ht="17.5">
      <c r="Q58" s="11">
        <v>45139</v>
      </c>
      <c r="R58" s="9">
        <v>72.5</v>
      </c>
      <c r="S58" s="9">
        <v>98.6</v>
      </c>
      <c r="T58" s="9">
        <v>76.2</v>
      </c>
      <c r="U58" s="3">
        <v>100</v>
      </c>
    </row>
    <row r="59" spans="17:21" ht="17.5">
      <c r="Q59" s="11">
        <v>45170</v>
      </c>
      <c r="R59" s="9">
        <v>72.400000000000006</v>
      </c>
      <c r="S59" s="9">
        <v>98.2</v>
      </c>
      <c r="T59" s="9">
        <v>75.099999999999994</v>
      </c>
      <c r="U59" s="3">
        <v>100</v>
      </c>
    </row>
    <row r="60" spans="17:21" ht="17.5">
      <c r="Q60" s="11">
        <v>45200</v>
      </c>
      <c r="R60" s="9">
        <v>72.400000000000006</v>
      </c>
      <c r="S60" s="9">
        <v>95.1</v>
      </c>
      <c r="T60" s="9">
        <v>72.7</v>
      </c>
      <c r="U60" s="3">
        <v>100</v>
      </c>
    </row>
    <row r="61" spans="17:21" ht="17.5">
      <c r="Q61" s="11">
        <v>45231</v>
      </c>
      <c r="R61" s="9">
        <v>74.900000000000006</v>
      </c>
      <c r="S61" s="9">
        <v>96.6</v>
      </c>
      <c r="T61" s="9">
        <v>76.3</v>
      </c>
      <c r="U61" s="3">
        <v>100</v>
      </c>
    </row>
    <row r="62" spans="17:21" ht="17.5">
      <c r="Q62" s="11">
        <v>45261</v>
      </c>
      <c r="R62" s="9">
        <v>76.5</v>
      </c>
      <c r="S62" s="9">
        <v>99.7</v>
      </c>
      <c r="T62" s="9">
        <v>77.599999999999994</v>
      </c>
      <c r="U62" s="3">
        <v>100</v>
      </c>
    </row>
    <row r="63" spans="17:21" ht="17.5">
      <c r="Q63" s="11">
        <v>45292</v>
      </c>
      <c r="R63" s="9">
        <v>76.8</v>
      </c>
      <c r="S63" s="9">
        <v>98.7</v>
      </c>
      <c r="T63" s="9">
        <v>74.5</v>
      </c>
      <c r="U63" s="3">
        <v>100</v>
      </c>
    </row>
    <row r="64" spans="17:21" ht="17.5">
      <c r="Q64" s="11">
        <v>45323</v>
      </c>
      <c r="R64" s="9">
        <v>76.400000000000006</v>
      </c>
      <c r="S64" s="9">
        <v>95.4</v>
      </c>
      <c r="T64" s="9">
        <v>73.599999999999994</v>
      </c>
      <c r="U64" s="3">
        <v>100</v>
      </c>
    </row>
    <row r="65" spans="17:21" ht="17.5">
      <c r="Q65" s="11">
        <v>45352</v>
      </c>
      <c r="R65" s="9">
        <v>81.5</v>
      </c>
      <c r="S65" s="9">
        <v>96.9</v>
      </c>
      <c r="T65" s="9">
        <v>79.7</v>
      </c>
      <c r="U65" s="3">
        <v>100</v>
      </c>
    </row>
    <row r="66" spans="17:21" ht="17.5">
      <c r="Q66" s="11">
        <v>45383</v>
      </c>
      <c r="R66" s="9">
        <v>88</v>
      </c>
      <c r="S66" s="9">
        <v>100.2</v>
      </c>
      <c r="T66" s="9">
        <v>89.4</v>
      </c>
      <c r="U66" s="3">
        <v>100</v>
      </c>
    </row>
    <row r="67" spans="17:21" ht="17.5">
      <c r="Q67" s="11">
        <v>45413</v>
      </c>
      <c r="R67" s="9">
        <v>88.8</v>
      </c>
      <c r="S67" s="9">
        <v>108.2</v>
      </c>
      <c r="T67" s="9">
        <v>95.4</v>
      </c>
      <c r="U67" s="3">
        <v>100</v>
      </c>
    </row>
    <row r="68" spans="17:21" ht="17.5">
      <c r="Q68" s="11">
        <v>45444</v>
      </c>
      <c r="R68" s="9">
        <v>87.9</v>
      </c>
      <c r="S68" s="9">
        <v>105</v>
      </c>
      <c r="T68" s="9">
        <v>96.1</v>
      </c>
      <c r="U68" s="3">
        <v>100</v>
      </c>
    </row>
    <row r="69" spans="17:21" ht="17.5">
      <c r="Q69" s="11">
        <v>45474</v>
      </c>
      <c r="R69" s="9">
        <v>90.6</v>
      </c>
      <c r="S69" s="9">
        <v>104.4</v>
      </c>
      <c r="T69" s="9">
        <v>96.8</v>
      </c>
      <c r="U69" s="3">
        <v>100</v>
      </c>
    </row>
    <row r="70" spans="17:21" ht="17.5">
      <c r="Q70" s="11">
        <v>45505</v>
      </c>
      <c r="R70" s="9">
        <v>93.3</v>
      </c>
      <c r="S70" s="9">
        <v>100.8</v>
      </c>
      <c r="T70" s="9">
        <v>92.7</v>
      </c>
      <c r="U70" s="3">
        <v>100</v>
      </c>
    </row>
    <row r="71" spans="17:21" ht="17.5">
      <c r="Q71" s="11">
        <v>45536</v>
      </c>
      <c r="R71" s="9">
        <v>97.1</v>
      </c>
      <c r="S71" s="9">
        <v>103.1</v>
      </c>
      <c r="T71" s="9">
        <v>97.9</v>
      </c>
      <c r="U71" s="3">
        <v>100</v>
      </c>
    </row>
    <row r="72" spans="17:21" ht="17.5">
      <c r="Q72" s="11">
        <v>45566</v>
      </c>
      <c r="R72" s="9">
        <v>101.6</v>
      </c>
      <c r="S72" s="9">
        <v>106.5</v>
      </c>
      <c r="T72" s="9">
        <v>105.4</v>
      </c>
      <c r="U72" s="3">
        <v>100</v>
      </c>
    </row>
    <row r="73" spans="17:21" ht="17.5">
      <c r="Q73" s="11">
        <v>45597</v>
      </c>
      <c r="R73" s="9">
        <v>100.1</v>
      </c>
      <c r="S73" s="9">
        <v>102.9</v>
      </c>
      <c r="T73" s="9">
        <v>101.1</v>
      </c>
      <c r="U73" s="3">
        <v>100</v>
      </c>
    </row>
    <row r="74" spans="17:21" ht="17.5">
      <c r="Q74" s="11">
        <v>45627</v>
      </c>
      <c r="R74" s="9">
        <v>100</v>
      </c>
      <c r="S74" s="9">
        <v>100</v>
      </c>
      <c r="T74" s="9">
        <v>100</v>
      </c>
      <c r="U74" s="3">
        <v>100</v>
      </c>
    </row>
    <row r="75" spans="17:21" ht="17.5">
      <c r="Q75" s="11">
        <v>45658</v>
      </c>
      <c r="R75" s="9">
        <v>102.3</v>
      </c>
      <c r="S75" s="9">
        <v>101.2</v>
      </c>
      <c r="T75" s="9">
        <v>98.9</v>
      </c>
      <c r="U75" s="3">
        <v>100</v>
      </c>
    </row>
    <row r="76" spans="17:21" ht="17.5">
      <c r="Q76" s="11">
        <v>45689</v>
      </c>
      <c r="R76" s="9">
        <v>109.3</v>
      </c>
      <c r="S76" s="9">
        <v>104.3</v>
      </c>
      <c r="T76" s="9">
        <v>104.5</v>
      </c>
      <c r="U76" s="3">
        <v>100</v>
      </c>
    </row>
    <row r="77" spans="17:21" ht="17.5">
      <c r="Q77" s="11">
        <v>45717</v>
      </c>
      <c r="R77" s="9">
        <v>112.7</v>
      </c>
      <c r="S77" s="9">
        <v>104.5</v>
      </c>
      <c r="T77" s="9">
        <v>107.9</v>
      </c>
      <c r="U77" s="3">
        <v>100</v>
      </c>
    </row>
    <row r="78" spans="17:21" ht="17.5">
      <c r="Q78" s="11">
        <v>45748</v>
      </c>
      <c r="R78" s="9">
        <v>121.5</v>
      </c>
      <c r="S78" s="9">
        <v>102.2</v>
      </c>
      <c r="T78" s="9">
        <v>104.7</v>
      </c>
      <c r="U78" s="3">
        <v>100</v>
      </c>
    </row>
    <row r="79" spans="17:21" ht="17.5">
      <c r="Q79" s="11">
        <v>45778</v>
      </c>
      <c r="R79" s="9">
        <v>125</v>
      </c>
      <c r="S79" s="9">
        <v>104.4</v>
      </c>
      <c r="T79" s="9">
        <v>106.5</v>
      </c>
      <c r="U79" s="3">
        <v>100</v>
      </c>
    </row>
    <row r="80" spans="17:21" ht="17.5">
      <c r="Q80" s="11">
        <v>45809</v>
      </c>
      <c r="R80" s="9">
        <v>126.6</v>
      </c>
      <c r="S80" s="9">
        <v>133.4</v>
      </c>
      <c r="T80" s="9">
        <v>117</v>
      </c>
      <c r="U80" s="3">
        <v>100</v>
      </c>
    </row>
    <row r="81" spans="17:21" ht="17.5">
      <c r="Q81" s="11">
        <v>45839</v>
      </c>
      <c r="R81" s="9">
        <v>126.1</v>
      </c>
      <c r="S81" s="9">
        <v>148.30000000000001</v>
      </c>
      <c r="T81" s="9">
        <v>122.5</v>
      </c>
      <c r="U81" s="3">
        <v>100</v>
      </c>
    </row>
    <row r="82" spans="17:21" ht="17.5">
      <c r="Q82" s="11">
        <v>45870</v>
      </c>
      <c r="R82" s="9">
        <v>127.2</v>
      </c>
      <c r="S82" s="9">
        <v>143.1</v>
      </c>
      <c r="T82" s="9">
        <v>124.1</v>
      </c>
      <c r="U82" s="3">
        <v>100</v>
      </c>
    </row>
    <row r="83" spans="17:21" ht="17.5">
      <c r="Q83" s="11">
        <v>45901</v>
      </c>
      <c r="R83" s="9">
        <v>138.5</v>
      </c>
      <c r="S83" s="9">
        <v>153</v>
      </c>
      <c r="T83" s="9">
        <v>139.19999999999999</v>
      </c>
      <c r="U83" s="3">
        <v>100</v>
      </c>
    </row>
    <row r="84" spans="17:21" ht="17.5">
      <c r="Q84" s="11">
        <v>45931</v>
      </c>
      <c r="R84" s="9">
        <v>153.30000000000001</v>
      </c>
      <c r="S84" s="9">
        <v>172.3</v>
      </c>
      <c r="T84" s="9">
        <v>160.69999999999999</v>
      </c>
      <c r="U84" s="3">
        <v>100</v>
      </c>
    </row>
    <row r="85" spans="17:21" ht="17.5">
      <c r="Q85" s="11">
        <v>45962</v>
      </c>
      <c r="R85" s="9">
        <v>154.30000000000001</v>
      </c>
      <c r="S85" s="9">
        <v>166.8</v>
      </c>
      <c r="T85" s="9">
        <v>163.9</v>
      </c>
      <c r="U85" s="3">
        <v>100</v>
      </c>
    </row>
    <row r="86" spans="17:21" ht="17.5">
      <c r="Q86" s="11">
        <v>45992</v>
      </c>
      <c r="R86" s="9">
        <v>162.69999999999999</v>
      </c>
      <c r="S86" s="9">
        <v>201.9</v>
      </c>
      <c r="T86" s="9">
        <v>202.6</v>
      </c>
      <c r="U86" s="3">
        <v>100</v>
      </c>
    </row>
    <row r="87" spans="17:21" ht="17.5">
      <c r="Q87" s="11">
        <v>46023</v>
      </c>
      <c r="R87" s="9">
        <v>179.5</v>
      </c>
      <c r="S87" s="9">
        <v>259.5</v>
      </c>
      <c r="T87" s="9">
        <v>299.3</v>
      </c>
      <c r="U87" s="3">
        <v>100</v>
      </c>
    </row>
    <row r="88" spans="17:21" ht="17.5">
      <c r="Q88" s="11">
        <v>46054</v>
      </c>
      <c r="R88" s="9">
        <v>189.6</v>
      </c>
      <c r="S88" s="9">
        <v>227.9</v>
      </c>
      <c r="T88" s="9">
        <v>266.39999999999998</v>
      </c>
      <c r="U88" s="3">
        <v>100</v>
      </c>
    </row>
    <row r="89" spans="17:21" ht="17.5">
      <c r="Q89" s="11">
        <v>46082</v>
      </c>
      <c r="R89" s="9">
        <v>183.4</v>
      </c>
      <c r="S89" s="9">
        <v>218.2</v>
      </c>
      <c r="T89" s="9">
        <v>253.2</v>
      </c>
      <c r="U89" s="3">
        <v>100</v>
      </c>
    </row>
  </sheetData>
  <hyperlinks>
    <hyperlink ref="A37" location="'Read Me'!A1" display="Return to Read Me" xr:uid="{3DC94489-6A81-4E5A-964B-0E43FBCFB796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FE14-C4C6-4032-AA92-188E0EBB19D9}">
  <dimension ref="A1:U90"/>
  <sheetViews>
    <sheetView zoomScale="70" zoomScaleNormal="70" workbookViewId="0">
      <selection activeCell="AA11" sqref="AA11"/>
    </sheetView>
  </sheetViews>
  <sheetFormatPr defaultRowHeight="14.5"/>
  <cols>
    <col min="17" max="17" width="37.7265625" customWidth="1"/>
    <col min="18" max="20" width="10.54296875" bestFit="1" customWidth="1"/>
    <col min="21" max="21" width="9.26953125" bestFit="1" customWidth="1"/>
  </cols>
  <sheetData>
    <row r="1" spans="1:21" ht="25">
      <c r="A1" s="4" t="s">
        <v>11</v>
      </c>
      <c r="Q1" s="3"/>
    </row>
    <row r="2" spans="1:21" ht="17.5">
      <c r="Q2" s="12"/>
      <c r="R2" s="12">
        <v>2022</v>
      </c>
      <c r="S2" s="12">
        <v>2023</v>
      </c>
      <c r="T2" s="12">
        <v>2024</v>
      </c>
      <c r="U2" s="12">
        <v>2025</v>
      </c>
    </row>
    <row r="3" spans="1:21" ht="17.5">
      <c r="M3" s="1"/>
      <c r="Q3" s="12" t="s">
        <v>12</v>
      </c>
      <c r="R3" s="26">
        <v>-109.1</v>
      </c>
      <c r="S3" s="26">
        <v>-243.3</v>
      </c>
      <c r="T3" s="26">
        <v>-2.9</v>
      </c>
      <c r="U3" s="26">
        <v>801.2</v>
      </c>
    </row>
    <row r="4" spans="1:21" ht="17.5">
      <c r="Q4" s="12" t="s">
        <v>13</v>
      </c>
      <c r="R4" s="26">
        <v>1080</v>
      </c>
      <c r="S4" s="26">
        <v>1050.8</v>
      </c>
      <c r="T4" s="26">
        <v>1092.4000000000001</v>
      </c>
      <c r="U4" s="26">
        <v>863.3</v>
      </c>
    </row>
    <row r="5" spans="1:21" ht="17.5">
      <c r="Q5" s="12" t="s">
        <v>14</v>
      </c>
      <c r="R5" s="26">
        <v>106.9</v>
      </c>
      <c r="S5" s="26">
        <v>106.9</v>
      </c>
      <c r="T5" s="26">
        <v>106.9</v>
      </c>
      <c r="U5" s="26">
        <v>106.9</v>
      </c>
    </row>
    <row r="6" spans="1:21" ht="17.5">
      <c r="Q6" s="12" t="s">
        <v>15</v>
      </c>
      <c r="R6" s="26">
        <v>511.9</v>
      </c>
      <c r="S6" s="26">
        <v>511.9</v>
      </c>
      <c r="T6" s="26">
        <v>511.9</v>
      </c>
      <c r="U6" s="26">
        <v>511.9</v>
      </c>
    </row>
    <row r="7" spans="1:21" ht="17.5">
      <c r="Q7" s="3"/>
    </row>
    <row r="8" spans="1:21" ht="17.5">
      <c r="Q8" s="3"/>
    </row>
    <row r="9" spans="1:21" ht="17.5">
      <c r="Q9" s="3"/>
    </row>
    <row r="10" spans="1:21" ht="17.5">
      <c r="Q10" s="3"/>
    </row>
    <row r="11" spans="1:21" ht="17.5">
      <c r="Q11" s="3"/>
    </row>
    <row r="12" spans="1:21" ht="17.5">
      <c r="Q12" s="3"/>
    </row>
    <row r="13" spans="1:21" ht="17.5">
      <c r="Q13" s="3"/>
    </row>
    <row r="14" spans="1:21" ht="17.5">
      <c r="Q14" s="3"/>
    </row>
    <row r="15" spans="1:21" ht="17.5">
      <c r="Q15" s="3"/>
    </row>
    <row r="16" spans="1:21" ht="17.5">
      <c r="Q16" s="3"/>
    </row>
    <row r="17" spans="1:17" ht="17.5">
      <c r="Q17" s="3"/>
    </row>
    <row r="18" spans="1:17" ht="17.5">
      <c r="Q18" s="3"/>
    </row>
    <row r="19" spans="1:17" ht="17.5">
      <c r="Q19" s="3"/>
    </row>
    <row r="20" spans="1:17" ht="17.5">
      <c r="Q20" s="3"/>
    </row>
    <row r="21" spans="1:17" ht="17.5">
      <c r="Q21" s="3"/>
    </row>
    <row r="22" spans="1:17" ht="17.5">
      <c r="Q22" s="3"/>
    </row>
    <row r="23" spans="1:17" ht="17.5">
      <c r="Q23" s="3"/>
    </row>
    <row r="24" spans="1:17" ht="17.5">
      <c r="Q24" s="3"/>
    </row>
    <row r="25" spans="1:17" ht="17.5">
      <c r="Q25" s="3"/>
    </row>
    <row r="26" spans="1:17" ht="17.5">
      <c r="Q26" s="3"/>
    </row>
    <row r="27" spans="1:17" ht="17.5">
      <c r="Q27" s="3"/>
    </row>
    <row r="28" spans="1:17" ht="17.5">
      <c r="Q28" s="3"/>
    </row>
    <row r="29" spans="1:17" ht="17.5">
      <c r="Q29" s="3"/>
    </row>
    <row r="30" spans="1:17" ht="17.5">
      <c r="Q30" s="3"/>
    </row>
    <row r="31" spans="1:17" ht="17.5">
      <c r="Q31" s="3"/>
    </row>
    <row r="32" spans="1:17" ht="17.5">
      <c r="A32" s="3" t="s">
        <v>26</v>
      </c>
      <c r="Q32" s="3"/>
    </row>
    <row r="33" spans="1:17" ht="17.5">
      <c r="A33" s="27" t="s">
        <v>28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Q33" s="3"/>
    </row>
    <row r="34" spans="1:17" ht="17.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Q34" s="3"/>
    </row>
    <row r="35" spans="1:17" ht="17.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Q35" s="3"/>
    </row>
    <row r="36" spans="1:17" ht="17.5">
      <c r="A36" s="7" t="s">
        <v>1</v>
      </c>
      <c r="Q36" s="3"/>
    </row>
    <row r="37" spans="1:17" ht="17.5">
      <c r="Q37" s="3"/>
    </row>
    <row r="38" spans="1:17" ht="17.5">
      <c r="Q38" s="3"/>
    </row>
    <row r="39" spans="1:17" ht="17.5">
      <c r="Q39" s="3"/>
    </row>
    <row r="40" spans="1:17" ht="17.5">
      <c r="Q40" s="3"/>
    </row>
    <row r="41" spans="1:17" ht="17.5">
      <c r="Q41" s="3"/>
    </row>
    <row r="42" spans="1:17" ht="17.5">
      <c r="Q42" s="3"/>
    </row>
    <row r="43" spans="1:17" ht="17.5">
      <c r="Q43" s="3"/>
    </row>
    <row r="44" spans="1:17" ht="17.5">
      <c r="Q44" s="3"/>
    </row>
    <row r="45" spans="1:17" ht="17.5">
      <c r="Q45" s="3"/>
    </row>
    <row r="46" spans="1:17" ht="17.5">
      <c r="Q46" s="3"/>
    </row>
    <row r="47" spans="1:17" ht="17.5">
      <c r="Q47" s="3"/>
    </row>
    <row r="48" spans="1:17" ht="17.5">
      <c r="Q48" s="3"/>
    </row>
    <row r="49" spans="17:17" ht="17.5">
      <c r="Q49" s="3"/>
    </row>
    <row r="50" spans="17:17" ht="17.5">
      <c r="Q50" s="3"/>
    </row>
    <row r="51" spans="17:17" ht="17.5">
      <c r="Q51" s="3"/>
    </row>
    <row r="52" spans="17:17" ht="17.5">
      <c r="Q52" s="3"/>
    </row>
    <row r="53" spans="17:17" ht="17.5">
      <c r="Q53" s="3"/>
    </row>
    <row r="54" spans="17:17" ht="17.5">
      <c r="Q54" s="3"/>
    </row>
    <row r="55" spans="17:17" ht="17.5">
      <c r="Q55" s="3"/>
    </row>
    <row r="56" spans="17:17" ht="17.5">
      <c r="Q56" s="3"/>
    </row>
    <row r="57" spans="17:17" ht="17.5">
      <c r="Q57" s="3"/>
    </row>
    <row r="58" spans="17:17" ht="17.5">
      <c r="Q58" s="3"/>
    </row>
    <row r="59" spans="17:17" ht="17.5">
      <c r="Q59" s="3"/>
    </row>
    <row r="60" spans="17:17" ht="17.5">
      <c r="Q60" s="3"/>
    </row>
    <row r="61" spans="17:17" ht="17.5">
      <c r="Q61" s="3"/>
    </row>
    <row r="62" spans="17:17" ht="17.5">
      <c r="Q62" s="3"/>
    </row>
    <row r="63" spans="17:17" ht="17.5">
      <c r="Q63" s="3"/>
    </row>
    <row r="64" spans="17:17" ht="17.5">
      <c r="Q64" s="3"/>
    </row>
    <row r="65" spans="17:17" ht="17.5">
      <c r="Q65" s="3"/>
    </row>
    <row r="66" spans="17:17" ht="17.5">
      <c r="Q66" s="3"/>
    </row>
    <row r="67" spans="17:17" ht="17.5">
      <c r="Q67" s="3"/>
    </row>
    <row r="68" spans="17:17" ht="17.5">
      <c r="Q68" s="3"/>
    </row>
    <row r="69" spans="17:17" ht="17.5">
      <c r="Q69" s="3"/>
    </row>
    <row r="70" spans="17:17" ht="17.5">
      <c r="Q70" s="3"/>
    </row>
    <row r="71" spans="17:17" ht="17.5">
      <c r="Q71" s="3"/>
    </row>
    <row r="72" spans="17:17" ht="17.5">
      <c r="Q72" s="3"/>
    </row>
    <row r="73" spans="17:17" ht="17.5">
      <c r="Q73" s="3"/>
    </row>
    <row r="74" spans="17:17" ht="17.5">
      <c r="Q74" s="3"/>
    </row>
    <row r="75" spans="17:17" ht="17.5">
      <c r="Q75" s="3"/>
    </row>
    <row r="76" spans="17:17" ht="17.5">
      <c r="Q76" s="3"/>
    </row>
    <row r="77" spans="17:17" ht="17.5">
      <c r="Q77" s="3"/>
    </row>
    <row r="78" spans="17:17" ht="17.5">
      <c r="Q78" s="3"/>
    </row>
    <row r="79" spans="17:17" ht="17.5">
      <c r="Q79" s="3"/>
    </row>
    <row r="80" spans="17:17" ht="17.5">
      <c r="Q80" s="3"/>
    </row>
    <row r="81" spans="17:17" ht="17.5">
      <c r="Q81" s="3"/>
    </row>
    <row r="82" spans="17:17" ht="17.5">
      <c r="Q82" s="3"/>
    </row>
    <row r="83" spans="17:17" ht="17.5">
      <c r="Q83" s="3"/>
    </row>
    <row r="84" spans="17:17" ht="17.5">
      <c r="Q84" s="3"/>
    </row>
    <row r="85" spans="17:17" ht="17.5">
      <c r="Q85" s="3"/>
    </row>
    <row r="86" spans="17:17" ht="17.5">
      <c r="Q86" s="3"/>
    </row>
    <row r="87" spans="17:17" ht="17.5">
      <c r="Q87" s="3"/>
    </row>
    <row r="88" spans="17:17" ht="17.5">
      <c r="Q88" s="3"/>
    </row>
    <row r="89" spans="17:17" ht="17.5">
      <c r="Q89" s="3"/>
    </row>
    <row r="90" spans="17:17" ht="17.5">
      <c r="Q90" s="3"/>
    </row>
  </sheetData>
  <mergeCells count="1">
    <mergeCell ref="A33:O34"/>
  </mergeCells>
  <hyperlinks>
    <hyperlink ref="A36" location="'Read Me'!A1" display="Return to Read Me" xr:uid="{8701EAE6-7B36-469A-807F-A6F674A351EE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0D6D-9963-4B3A-98C0-AE848DD705D7}">
  <dimension ref="A1:V90"/>
  <sheetViews>
    <sheetView zoomScale="70" zoomScaleNormal="70" workbookViewId="0"/>
  </sheetViews>
  <sheetFormatPr defaultRowHeight="14.5"/>
  <cols>
    <col min="17" max="17" width="21.1796875" bestFit="1" customWidth="1"/>
  </cols>
  <sheetData>
    <row r="1" spans="1:22" ht="25">
      <c r="A1" s="4" t="s">
        <v>16</v>
      </c>
      <c r="Q1" s="3"/>
    </row>
    <row r="2" spans="1:22" ht="17.5">
      <c r="Q2" s="16"/>
      <c r="R2" s="16">
        <v>2022</v>
      </c>
      <c r="S2" s="16">
        <v>2023</v>
      </c>
      <c r="T2" s="16">
        <v>2024</v>
      </c>
      <c r="U2" s="16">
        <v>2025</v>
      </c>
      <c r="V2" s="13"/>
    </row>
    <row r="3" spans="1:22" ht="17.5">
      <c r="M3" s="1"/>
      <c r="Q3" s="25" t="s">
        <v>17</v>
      </c>
      <c r="R3" s="16">
        <v>1136.0999999999999</v>
      </c>
      <c r="S3" s="16">
        <v>1233.5999999999999</v>
      </c>
      <c r="T3" s="16">
        <v>1365.3</v>
      </c>
      <c r="U3" s="16">
        <v>1404.3</v>
      </c>
      <c r="V3" s="13"/>
    </row>
    <row r="4" spans="1:22">
      <c r="V4" s="13"/>
    </row>
    <row r="5" spans="1:22" ht="18.5">
      <c r="Q5" s="17"/>
      <c r="R5" s="17"/>
      <c r="S5" s="5"/>
      <c r="T5" s="5"/>
      <c r="U5" s="5"/>
    </row>
    <row r="6" spans="1:22">
      <c r="Q6" s="8"/>
      <c r="R6" s="8"/>
    </row>
    <row r="7" spans="1:22">
      <c r="Q7" s="8"/>
      <c r="R7" s="8"/>
    </row>
    <row r="8" spans="1:22">
      <c r="Q8" s="8"/>
      <c r="R8" s="8"/>
    </row>
    <row r="9" spans="1:22" ht="17.5">
      <c r="Q9" s="3"/>
    </row>
    <row r="10" spans="1:22" ht="17.5">
      <c r="Q10" s="3"/>
    </row>
    <row r="11" spans="1:22" ht="17.5">
      <c r="Q11" s="3"/>
    </row>
    <row r="12" spans="1:22" ht="17.5">
      <c r="Q12" s="3"/>
    </row>
    <row r="13" spans="1:22" ht="17.5">
      <c r="Q13" s="3"/>
    </row>
    <row r="14" spans="1:22" ht="17.5">
      <c r="Q14" s="3"/>
    </row>
    <row r="15" spans="1:22" ht="17.5">
      <c r="Q15" s="3"/>
    </row>
    <row r="16" spans="1:22" ht="17.5">
      <c r="Q16" s="3"/>
    </row>
    <row r="17" spans="17:17" ht="17.5">
      <c r="Q17" s="3"/>
    </row>
    <row r="18" spans="17:17" ht="17.5">
      <c r="Q18" s="3"/>
    </row>
    <row r="19" spans="17:17" ht="17.5">
      <c r="Q19" s="3"/>
    </row>
    <row r="20" spans="17:17" ht="17.5">
      <c r="Q20" s="3"/>
    </row>
    <row r="21" spans="17:17" ht="17.5">
      <c r="Q21" s="3"/>
    </row>
    <row r="22" spans="17:17" ht="17.5">
      <c r="Q22" s="3"/>
    </row>
    <row r="23" spans="17:17" ht="17.5">
      <c r="Q23" s="3"/>
    </row>
    <row r="24" spans="17:17" ht="17.5">
      <c r="Q24" s="3"/>
    </row>
    <row r="25" spans="17:17" ht="17.5">
      <c r="Q25" s="3"/>
    </row>
    <row r="26" spans="17:17" ht="17.5">
      <c r="Q26" s="3"/>
    </row>
    <row r="27" spans="17:17" ht="17.5">
      <c r="Q27" s="3"/>
    </row>
    <row r="28" spans="17:17" ht="17.5">
      <c r="Q28" s="3"/>
    </row>
    <row r="29" spans="17:17" ht="17.5">
      <c r="Q29" s="3"/>
    </row>
    <row r="30" spans="17:17" ht="17.5">
      <c r="Q30" s="3"/>
    </row>
    <row r="31" spans="17:17" ht="17.5">
      <c r="Q31" s="3"/>
    </row>
    <row r="32" spans="17:17" ht="17.5">
      <c r="Q32" s="3"/>
    </row>
    <row r="33" spans="1:17" ht="17.5">
      <c r="A33" s="3" t="s">
        <v>24</v>
      </c>
      <c r="Q33" s="3"/>
    </row>
    <row r="34" spans="1:17" ht="17.5">
      <c r="A34" s="3" t="s">
        <v>23</v>
      </c>
      <c r="Q34" s="3"/>
    </row>
    <row r="35" spans="1:17" ht="17.5">
      <c r="Q35" s="3"/>
    </row>
    <row r="36" spans="1:17" ht="17.5">
      <c r="A36" s="6" t="s">
        <v>1</v>
      </c>
      <c r="Q36" s="3"/>
    </row>
    <row r="37" spans="1:17" ht="17.5">
      <c r="Q37" s="3"/>
    </row>
    <row r="38" spans="1:17" ht="17.5">
      <c r="Q38" s="3"/>
    </row>
    <row r="39" spans="1:17" ht="17.5">
      <c r="Q39" s="3"/>
    </row>
    <row r="40" spans="1:17" ht="17.5">
      <c r="Q40" s="3"/>
    </row>
    <row r="41" spans="1:17" ht="17.5">
      <c r="Q41" s="3"/>
    </row>
    <row r="42" spans="1:17" ht="17.5">
      <c r="Q42" s="3"/>
    </row>
    <row r="43" spans="1:17" ht="17.5">
      <c r="Q43" s="3"/>
    </row>
    <row r="44" spans="1:17" ht="17.5">
      <c r="Q44" s="3"/>
    </row>
    <row r="45" spans="1:17" ht="17.5">
      <c r="Q45" s="3"/>
    </row>
    <row r="46" spans="1:17" ht="17.5">
      <c r="Q46" s="3"/>
    </row>
    <row r="47" spans="1:17" ht="17.5">
      <c r="Q47" s="3"/>
    </row>
    <row r="48" spans="1:17" ht="17.5">
      <c r="Q48" s="3"/>
    </row>
    <row r="49" spans="17:17" ht="17.5">
      <c r="Q49" s="3"/>
    </row>
    <row r="50" spans="17:17" ht="17.5">
      <c r="Q50" s="3"/>
    </row>
    <row r="51" spans="17:17" ht="17.5">
      <c r="Q51" s="3"/>
    </row>
    <row r="52" spans="17:17" ht="17.5">
      <c r="Q52" s="3"/>
    </row>
    <row r="53" spans="17:17" ht="17.5">
      <c r="Q53" s="3"/>
    </row>
    <row r="54" spans="17:17" ht="17.5">
      <c r="Q54" s="3"/>
    </row>
    <row r="55" spans="17:17" ht="17.5">
      <c r="Q55" s="3"/>
    </row>
    <row r="56" spans="17:17" ht="17.5">
      <c r="Q56" s="3"/>
    </row>
    <row r="57" spans="17:17" ht="17.5">
      <c r="Q57" s="3"/>
    </row>
    <row r="58" spans="17:17" ht="17.5">
      <c r="Q58" s="3"/>
    </row>
    <row r="59" spans="17:17" ht="17.5">
      <c r="Q59" s="3"/>
    </row>
    <row r="60" spans="17:17" ht="17.5">
      <c r="Q60" s="3"/>
    </row>
    <row r="61" spans="17:17" ht="17.5">
      <c r="Q61" s="3"/>
    </row>
    <row r="62" spans="17:17" ht="17.5">
      <c r="Q62" s="3"/>
    </row>
    <row r="63" spans="17:17" ht="17.5">
      <c r="Q63" s="3"/>
    </row>
    <row r="64" spans="17:17" ht="17.5">
      <c r="Q64" s="3"/>
    </row>
    <row r="65" spans="17:17" ht="17.5">
      <c r="Q65" s="3"/>
    </row>
    <row r="66" spans="17:17" ht="17.5">
      <c r="Q66" s="3"/>
    </row>
    <row r="67" spans="17:17" ht="17.5">
      <c r="Q67" s="3"/>
    </row>
    <row r="68" spans="17:17" ht="17.5">
      <c r="Q68" s="3"/>
    </row>
    <row r="69" spans="17:17" ht="17.5">
      <c r="Q69" s="3"/>
    </row>
    <row r="70" spans="17:17" ht="17.5">
      <c r="Q70" s="3"/>
    </row>
    <row r="71" spans="17:17" ht="17.5">
      <c r="Q71" s="3"/>
    </row>
    <row r="72" spans="17:17" ht="17.5">
      <c r="Q72" s="3"/>
    </row>
    <row r="73" spans="17:17" ht="17.5">
      <c r="Q73" s="3"/>
    </row>
    <row r="74" spans="17:17" ht="17.5">
      <c r="Q74" s="3"/>
    </row>
    <row r="75" spans="17:17" ht="17.5">
      <c r="Q75" s="3"/>
    </row>
    <row r="76" spans="17:17" ht="17.5">
      <c r="Q76" s="3"/>
    </row>
    <row r="77" spans="17:17" ht="17.5">
      <c r="Q77" s="3"/>
    </row>
    <row r="78" spans="17:17" ht="17.5">
      <c r="Q78" s="3"/>
    </row>
    <row r="79" spans="17:17" ht="17.5">
      <c r="Q79" s="3"/>
    </row>
    <row r="80" spans="17:17" ht="17.5">
      <c r="Q80" s="3"/>
    </row>
    <row r="81" spans="17:17" ht="17.5">
      <c r="Q81" s="3"/>
    </row>
    <row r="82" spans="17:17" ht="17.5">
      <c r="Q82" s="3"/>
    </row>
    <row r="83" spans="17:17" ht="17.5">
      <c r="Q83" s="3"/>
    </row>
    <row r="84" spans="17:17" ht="17.5">
      <c r="Q84" s="3"/>
    </row>
    <row r="85" spans="17:17" ht="17.5">
      <c r="Q85" s="3"/>
    </row>
    <row r="86" spans="17:17" ht="17.5">
      <c r="Q86" s="3"/>
    </row>
    <row r="87" spans="17:17" ht="17.5">
      <c r="Q87" s="3"/>
    </row>
    <row r="88" spans="17:17" ht="17.5">
      <c r="Q88" s="3"/>
    </row>
    <row r="89" spans="17:17" ht="17.5">
      <c r="Q89" s="3"/>
    </row>
    <row r="90" spans="17:17" ht="17.5">
      <c r="Q90" s="3"/>
    </row>
  </sheetData>
  <hyperlinks>
    <hyperlink ref="A36" location="'Read Me'!A1" display="Return to Read Me" xr:uid="{C277CC5F-8521-46DD-B886-E8E7C4B37A1A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BF22-4446-40A8-93A0-940D439730F6}">
  <dimension ref="A1:W91"/>
  <sheetViews>
    <sheetView zoomScale="70" zoomScaleNormal="70" workbookViewId="0"/>
  </sheetViews>
  <sheetFormatPr defaultRowHeight="14.5"/>
  <cols>
    <col min="17" max="17" width="33.7265625" customWidth="1"/>
    <col min="18" max="20" width="16.26953125" bestFit="1" customWidth="1"/>
    <col min="21" max="23" width="14.7265625" bestFit="1" customWidth="1"/>
  </cols>
  <sheetData>
    <row r="1" spans="1:23" ht="25">
      <c r="A1" s="4" t="s">
        <v>21</v>
      </c>
      <c r="Q1" s="3"/>
    </row>
    <row r="2" spans="1:23" ht="17.5">
      <c r="Q2" s="14"/>
      <c r="R2" s="14" t="s">
        <v>8</v>
      </c>
      <c r="S2" s="14" t="s">
        <v>9</v>
      </c>
      <c r="T2" s="14" t="s">
        <v>20</v>
      </c>
      <c r="U2" s="3"/>
      <c r="V2" s="3"/>
      <c r="W2" s="3"/>
    </row>
    <row r="3" spans="1:23" ht="17.5">
      <c r="M3" s="1"/>
      <c r="Q3" s="14" t="s">
        <v>2</v>
      </c>
      <c r="R3" s="21">
        <v>4700</v>
      </c>
      <c r="S3" s="21">
        <v>1950</v>
      </c>
      <c r="T3" s="20"/>
      <c r="U3" s="9"/>
      <c r="V3" s="9"/>
      <c r="W3" s="9"/>
    </row>
    <row r="4" spans="1:23" ht="17.5">
      <c r="Q4" s="14"/>
      <c r="R4" s="21"/>
      <c r="S4" s="21"/>
      <c r="T4" s="21">
        <v>70</v>
      </c>
      <c r="U4" s="9"/>
      <c r="V4" s="9"/>
      <c r="W4" s="9"/>
    </row>
    <row r="5" spans="1:23" ht="17.5">
      <c r="Q5" s="14" t="s">
        <v>3</v>
      </c>
      <c r="R5" s="21">
        <v>3700</v>
      </c>
      <c r="S5" s="21">
        <v>1280</v>
      </c>
      <c r="T5" s="20"/>
      <c r="U5" s="9"/>
      <c r="V5" s="9"/>
      <c r="W5" s="9"/>
    </row>
    <row r="6" spans="1:23" ht="17.5">
      <c r="Q6" s="14"/>
      <c r="R6" s="21"/>
      <c r="S6" s="21"/>
      <c r="T6" s="21">
        <v>42</v>
      </c>
      <c r="U6" s="9"/>
      <c r="V6" s="9"/>
      <c r="W6" s="9"/>
    </row>
    <row r="7" spans="1:23" ht="17.5">
      <c r="Q7" s="15" t="s">
        <v>19</v>
      </c>
      <c r="R7" s="22">
        <v>4328.3999999999996</v>
      </c>
      <c r="S7" s="22">
        <v>1741.4</v>
      </c>
      <c r="T7" s="23">
        <v>64.2</v>
      </c>
      <c r="U7" s="9"/>
      <c r="V7" s="9"/>
      <c r="W7" s="9"/>
    </row>
    <row r="8" spans="1:23" ht="17.5">
      <c r="Q8" s="15" t="s">
        <v>18</v>
      </c>
      <c r="R8" s="22">
        <v>5346.1</v>
      </c>
      <c r="S8" s="22">
        <v>2652.3</v>
      </c>
      <c r="T8" s="23">
        <v>98.5</v>
      </c>
      <c r="U8" s="9"/>
      <c r="V8" s="9"/>
      <c r="W8" s="9"/>
    </row>
    <row r="9" spans="1:23" ht="17.5">
      <c r="Q9" s="14" t="s">
        <v>6</v>
      </c>
      <c r="R9" s="24">
        <v>646.1</v>
      </c>
      <c r="S9" s="24">
        <v>702.3</v>
      </c>
      <c r="T9" s="20"/>
      <c r="U9" s="9"/>
      <c r="V9" s="9"/>
      <c r="W9" s="9"/>
    </row>
    <row r="10" spans="1:23" ht="17.5">
      <c r="Q10" s="14"/>
      <c r="R10" s="24"/>
      <c r="S10" s="24"/>
      <c r="T10" s="24">
        <v>28.5</v>
      </c>
      <c r="U10" s="9"/>
      <c r="V10" s="9"/>
      <c r="W10" s="9"/>
    </row>
    <row r="11" spans="1:23" ht="17.5">
      <c r="Q11" s="14" t="s">
        <v>5</v>
      </c>
      <c r="R11" s="24">
        <v>371.6</v>
      </c>
      <c r="S11" s="24">
        <v>208.6</v>
      </c>
      <c r="T11" s="20"/>
      <c r="U11" s="9"/>
      <c r="V11" s="9"/>
      <c r="W11" s="9"/>
    </row>
    <row r="12" spans="1:23" ht="17.5">
      <c r="Q12" s="14"/>
      <c r="R12" s="24"/>
      <c r="S12" s="24"/>
      <c r="T12" s="24">
        <v>5.8</v>
      </c>
    </row>
    <row r="13" spans="1:23" ht="17.5">
      <c r="Q13" s="14" t="s">
        <v>4</v>
      </c>
      <c r="R13" s="20"/>
      <c r="S13" s="20"/>
      <c r="T13" s="20"/>
    </row>
    <row r="14" spans="1:23" ht="17.5">
      <c r="Q14" s="3"/>
    </row>
    <row r="15" spans="1:23" ht="17.5">
      <c r="Q15" s="3"/>
    </row>
    <row r="16" spans="1:23" ht="17.5">
      <c r="Q16" s="3"/>
    </row>
    <row r="17" spans="1:17" ht="17.5">
      <c r="Q17" s="3"/>
    </row>
    <row r="18" spans="1:17" ht="17.5">
      <c r="Q18" s="3"/>
    </row>
    <row r="19" spans="1:17" ht="17.5">
      <c r="Q19" s="3"/>
    </row>
    <row r="20" spans="1:17" ht="17.5">
      <c r="Q20" s="3"/>
    </row>
    <row r="21" spans="1:17" ht="17.5">
      <c r="Q21" s="3"/>
    </row>
    <row r="22" spans="1:17" ht="17.5">
      <c r="Q22" s="3"/>
    </row>
    <row r="23" spans="1:17" ht="17.5">
      <c r="Q23" s="3"/>
    </row>
    <row r="24" spans="1:17" ht="17.5">
      <c r="Q24" s="3"/>
    </row>
    <row r="25" spans="1:17" ht="17.5">
      <c r="Q25" s="3"/>
    </row>
    <row r="26" spans="1:17" ht="17.5">
      <c r="Q26" s="3"/>
    </row>
    <row r="27" spans="1:17" ht="17.5">
      <c r="Q27" s="3"/>
    </row>
    <row r="28" spans="1:17" ht="17.5">
      <c r="Q28" s="3"/>
    </row>
    <row r="29" spans="1:17" ht="17.5">
      <c r="Q29" s="3"/>
    </row>
    <row r="30" spans="1:17" ht="17.5">
      <c r="Q30" s="3"/>
    </row>
    <row r="31" spans="1:17" ht="17.5">
      <c r="Q31" s="3"/>
    </row>
    <row r="32" spans="1:17" ht="17.5">
      <c r="A32" s="3" t="s">
        <v>22</v>
      </c>
      <c r="Q32" s="3"/>
    </row>
    <row r="33" spans="1:17" ht="18" customHeight="1">
      <c r="A33" s="28" t="s">
        <v>27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Q33" s="3"/>
    </row>
    <row r="34" spans="1:17" ht="17.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Q34" s="3"/>
    </row>
    <row r="35" spans="1:17" ht="17.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Q35" s="3"/>
    </row>
    <row r="36" spans="1:17" ht="17.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Q36" s="3"/>
    </row>
    <row r="37" spans="1:17" ht="17.5">
      <c r="A37" s="7" t="s">
        <v>1</v>
      </c>
      <c r="Q37" s="3"/>
    </row>
    <row r="38" spans="1:17" ht="17.5">
      <c r="Q38" s="3"/>
    </row>
    <row r="39" spans="1:17" ht="17.5">
      <c r="Q39" s="3"/>
    </row>
    <row r="40" spans="1:17" ht="17.5">
      <c r="Q40" s="3"/>
    </row>
    <row r="41" spans="1:17" ht="17.5">
      <c r="Q41" s="3"/>
    </row>
    <row r="42" spans="1:17" ht="17.5">
      <c r="Q42" s="3"/>
    </row>
    <row r="43" spans="1:17" ht="17.5">
      <c r="Q43" s="3"/>
    </row>
    <row r="44" spans="1:17" ht="17.5">
      <c r="Q44" s="3"/>
    </row>
    <row r="45" spans="1:17" ht="17.5">
      <c r="Q45" s="3"/>
    </row>
    <row r="46" spans="1:17" ht="17.5">
      <c r="Q46" s="3"/>
    </row>
    <row r="47" spans="1:17" ht="17.5">
      <c r="Q47" s="3"/>
    </row>
    <row r="48" spans="1:17" ht="17.5">
      <c r="Q48" s="3"/>
    </row>
    <row r="49" spans="17:17" ht="17.5">
      <c r="Q49" s="3"/>
    </row>
    <row r="50" spans="17:17" ht="17.5">
      <c r="Q50" s="3"/>
    </row>
    <row r="51" spans="17:17" ht="17.5">
      <c r="Q51" s="3"/>
    </row>
    <row r="52" spans="17:17" ht="17.5">
      <c r="Q52" s="3"/>
    </row>
    <row r="53" spans="17:17" ht="17.5">
      <c r="Q53" s="3"/>
    </row>
    <row r="54" spans="17:17" ht="17.5">
      <c r="Q54" s="3"/>
    </row>
    <row r="55" spans="17:17" ht="17.5">
      <c r="Q55" s="3"/>
    </row>
    <row r="56" spans="17:17" ht="17.5">
      <c r="Q56" s="3"/>
    </row>
    <row r="57" spans="17:17" ht="17.5">
      <c r="Q57" s="3"/>
    </row>
    <row r="58" spans="17:17" ht="17.5">
      <c r="Q58" s="3"/>
    </row>
    <row r="59" spans="17:17" ht="17.5">
      <c r="Q59" s="3"/>
    </row>
    <row r="60" spans="17:17" ht="17.5">
      <c r="Q60" s="3"/>
    </row>
    <row r="61" spans="17:17" ht="17.5">
      <c r="Q61" s="3"/>
    </row>
    <row r="62" spans="17:17" ht="17.5">
      <c r="Q62" s="3"/>
    </row>
    <row r="63" spans="17:17" ht="17.5">
      <c r="Q63" s="3"/>
    </row>
    <row r="64" spans="17:17" ht="17.5">
      <c r="Q64" s="3"/>
    </row>
    <row r="65" spans="17:17" ht="17.5">
      <c r="Q65" s="3"/>
    </row>
    <row r="66" spans="17:17" ht="17.5">
      <c r="Q66" s="3"/>
    </row>
    <row r="67" spans="17:17" ht="17.5">
      <c r="Q67" s="3"/>
    </row>
    <row r="68" spans="17:17" ht="17.5">
      <c r="Q68" s="3"/>
    </row>
    <row r="69" spans="17:17" ht="17.5">
      <c r="Q69" s="3"/>
    </row>
    <row r="70" spans="17:17" ht="17.5">
      <c r="Q70" s="3"/>
    </row>
    <row r="71" spans="17:17" ht="17.5">
      <c r="Q71" s="3"/>
    </row>
    <row r="72" spans="17:17" ht="17.5">
      <c r="Q72" s="3"/>
    </row>
    <row r="73" spans="17:17" ht="17.5">
      <c r="Q73" s="3"/>
    </row>
    <row r="74" spans="17:17" ht="17.5">
      <c r="Q74" s="3"/>
    </row>
    <row r="75" spans="17:17" ht="17.5">
      <c r="Q75" s="3"/>
    </row>
    <row r="76" spans="17:17" ht="17.5">
      <c r="Q76" s="3"/>
    </row>
    <row r="77" spans="17:17" ht="17.5">
      <c r="Q77" s="3"/>
    </row>
    <row r="78" spans="17:17" ht="17.5">
      <c r="Q78" s="3"/>
    </row>
    <row r="79" spans="17:17" ht="17.5">
      <c r="Q79" s="3"/>
    </row>
    <row r="80" spans="17:17" ht="17.5">
      <c r="Q80" s="3"/>
    </row>
    <row r="81" spans="17:17" ht="17.5">
      <c r="Q81" s="3"/>
    </row>
    <row r="82" spans="17:17" ht="17.5">
      <c r="Q82" s="3"/>
    </row>
    <row r="83" spans="17:17" ht="17.5">
      <c r="Q83" s="3"/>
    </row>
    <row r="84" spans="17:17" ht="17.5">
      <c r="Q84" s="3"/>
    </row>
    <row r="85" spans="17:17" ht="17.5">
      <c r="Q85" s="3"/>
    </row>
    <row r="86" spans="17:17" ht="17.5">
      <c r="Q86" s="3"/>
    </row>
    <row r="87" spans="17:17" ht="17.5">
      <c r="Q87" s="3"/>
    </row>
    <row r="88" spans="17:17" ht="17.5">
      <c r="Q88" s="3"/>
    </row>
    <row r="89" spans="17:17" ht="17.5">
      <c r="Q89" s="3"/>
    </row>
    <row r="90" spans="17:17" ht="17.5">
      <c r="Q90" s="3"/>
    </row>
    <row r="91" spans="17:17" ht="17.5">
      <c r="Q91" s="3"/>
    </row>
  </sheetData>
  <mergeCells count="1">
    <mergeCell ref="A33:O35"/>
  </mergeCells>
  <hyperlinks>
    <hyperlink ref="A37" location="'Read Me'!A1" display="Return to Read Me" xr:uid="{C16DFD9A-32EC-4267-AAD5-113E5D42C15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21.A.</vt:lpstr>
      <vt:lpstr>21.B.</vt:lpstr>
      <vt:lpstr>21.C.</vt:lpstr>
      <vt:lpstr>21.D.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Sadhna Naik</dc:creator>
  <cp:lastModifiedBy>Graeme B. Littler</cp:lastModifiedBy>
  <dcterms:created xsi:type="dcterms:W3CDTF">2026-04-22T18:52:24Z</dcterms:created>
  <dcterms:modified xsi:type="dcterms:W3CDTF">2026-04-25T18:34:54Z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2026-04-25T18:34:52Z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df6ea381-14f0-4475-aa23-b3f8450f38cf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