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2.xml" ContentType="application/vnd.openxmlformats-officedocument.drawingml.chartshapes+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5.xml" ContentType="application/vnd.openxmlformats-officedocument.drawingml.chartshapes+xml"/>
  <Override PartName="/xl/drawings/drawing16.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R:\Commodities\2026a\Webcharts\"/>
    </mc:Choice>
  </mc:AlternateContent>
  <xr:revisionPtr revIDLastSave="0" documentId="13_ncr:1_{B54596AB-09B9-4CBC-928D-EC5403A7F536}" xr6:coauthVersionLast="47" xr6:coauthVersionMax="47" xr10:uidLastSave="{00000000-0000-0000-0000-000000000000}"/>
  <bookViews>
    <workbookView xWindow="-110" yWindow="-110" windowWidth="25820" windowHeight="15500" xr2:uid="{03B3939B-9187-4DA4-8432-50AAEEE2E1A7}"/>
  </bookViews>
  <sheets>
    <sheet name="Read Me" sheetId="1" r:id="rId1"/>
    <sheet name="18.A" sheetId="2" r:id="rId2"/>
    <sheet name="18.B" sheetId="3" r:id="rId3"/>
    <sheet name="18.C" sheetId="14" r:id="rId4"/>
    <sheet name="18.D" sheetId="8" r:id="rId5"/>
    <sheet name="17.C" sheetId="7" state="hidden" r:id="rId6"/>
    <sheet name="16.D" sheetId="9" state="hidden" r:id="rId7"/>
    <sheet name="18.E" sheetId="15" r:id="rId8"/>
    <sheet name="18.F" sheetId="17" r:id="rId9"/>
  </sheets>
  <definedNames>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L">#REF!</definedName>
    <definedName name="\M">#REF!</definedName>
    <definedName name="\P">#REF!</definedName>
    <definedName name="\Y">#REF!</definedName>
    <definedName name="\Z">#REF!</definedName>
    <definedName name="_____TOT58">#REF!</definedName>
    <definedName name="____TOT58">#REF!</definedName>
    <definedName name="___TOT58">#REF!</definedName>
    <definedName name="__123Graph_A" hidden="1">#REF!</definedName>
    <definedName name="__123Graph_AGRAPH1" hidden="1">#REF!</definedName>
    <definedName name="__123Graph_AGRAPH2" hidden="1">#REF!</definedName>
    <definedName name="__123Graph_AGRAPH3" hidden="1">#REF!</definedName>
    <definedName name="__123Graph_X" hidden="1">#REF!</definedName>
    <definedName name="__123Graph_XGRAPH1" hidden="1">#REF!</definedName>
    <definedName name="__123Graph_XGRAPH2" hidden="1">#REF!</definedName>
    <definedName name="__123Graph_XGRAPH3" hidden="1">#REF!</definedName>
    <definedName name="__TOT58">#REF!</definedName>
    <definedName name="_13A" hidden="1">#REF!</definedName>
    <definedName name="_88">#REF!</definedName>
    <definedName name="_89">#REF!</definedName>
    <definedName name="_aaV110">#REF!</definedName>
    <definedName name="_aIV114">#REF!</definedName>
    <definedName name="_aIV190">#REF!</definedName>
    <definedName name="_DLX1.EMA">#REF!</definedName>
    <definedName name="_DLX1.EMG">#REF!</definedName>
    <definedName name="_DLX1.EMR">#REF!</definedName>
    <definedName name="_DLX10.EMA">#REF!</definedName>
    <definedName name="_DLX11.EMA">#REF!</definedName>
    <definedName name="_DLX12.EMA">#REF!</definedName>
    <definedName name="_DLX13.EMA">#REF!</definedName>
    <definedName name="_DLX14.EMA">#REF!</definedName>
    <definedName name="_DLX16.EMA">#REF!</definedName>
    <definedName name="_DLX2.EMA" localSheetId="2">#REF!</definedName>
    <definedName name="_DLX2.EMA">#REF!</definedName>
    <definedName name="_DLX2.EMG">#REF!</definedName>
    <definedName name="_DLX3.EMA">#REF!</definedName>
    <definedName name="_DLX4.EMA">#REF!</definedName>
    <definedName name="_DLX4.EMG">#REF!</definedName>
    <definedName name="_DLX5.EMA">#REF!</definedName>
    <definedName name="_DLX6.EMA">#REF!</definedName>
    <definedName name="_DLX7.EMA">#REF!</definedName>
    <definedName name="_DLX8.EMA">#REF!</definedName>
    <definedName name="_DLX9.EMA">#REF!</definedName>
    <definedName name="_EX9596">#REF!</definedName>
    <definedName name="_xlnm._FilterDatabase" hidden="1">#REF!</definedName>
    <definedName name="_Key1" localSheetId="2" hidden="1">#REF!</definedName>
    <definedName name="_Key1" hidden="1">#REF!</definedName>
    <definedName name="_Key2" localSheetId="2" hidden="1">#REF!</definedName>
    <definedName name="_Key2" hidden="1">#REF!</definedName>
    <definedName name="_Order1" hidden="1">255</definedName>
    <definedName name="_qV196">#REF!</definedName>
    <definedName name="_ref2">#REF!</definedName>
    <definedName name="_Sort" localSheetId="2" hidden="1">#REF!</definedName>
    <definedName name="_Sort" hidden="1">#REF!</definedName>
    <definedName name="_TOT58">#REF!</definedName>
    <definedName name="a" localSheetId="2" hidden="1">#REF!</definedName>
    <definedName name="A">#REF!</definedName>
    <definedName name="a\V104">#REF!</definedName>
    <definedName name="aa">#REF!</definedName>
    <definedName name="abx">#REF!</definedName>
    <definedName name="Actual">#REF!</definedName>
    <definedName name="adaD">#REF!</definedName>
    <definedName name="adrra">#REF!</definedName>
    <definedName name="adsadrr" localSheetId="2" hidden="1">#REF!</definedName>
    <definedName name="adsadrr" hidden="1">#REF!</definedName>
    <definedName name="ADSDADADA" localSheetId="2" hidden="1">#REF!</definedName>
    <definedName name="ADSDADADA" hidden="1">#REF!</definedName>
    <definedName name="ALLBIRR">#REF!</definedName>
    <definedName name="AllData">#REF!</definedName>
    <definedName name="ALLSDR">#REF!</definedName>
    <definedName name="alpha">#REF!</definedName>
    <definedName name="apigraphs">#N/A</definedName>
    <definedName name="appendix">#REF!,#REF!,#REF!</definedName>
    <definedName name="asdrae" localSheetId="2" hidden="1">#REF!</definedName>
    <definedName name="asdrae" hidden="1">#REF!</definedName>
    <definedName name="asdrra">#REF!</definedName>
    <definedName name="ase">#REF!</definedName>
    <definedName name="aser">#REF!</definedName>
    <definedName name="asraa">#REF!</definedName>
    <definedName name="asrraa44">#REF!</definedName>
    <definedName name="ass">#N/A</definedName>
    <definedName name="ASSUM">#REF!</definedName>
    <definedName name="atlantic">#REF!</definedName>
    <definedName name="Average_Daily_Depreciation">#REF!</definedName>
    <definedName name="Average_Weekly_Depreciation">#REF!</definedName>
    <definedName name="Average_Weekly_Inter_Bank_Exchange_Rate">#REF!</definedName>
    <definedName name="b">#REF!</definedName>
    <definedName name="BALANCE">#REF!</definedName>
    <definedName name="bb">#REF!</definedName>
    <definedName name="BOG">#REF!</definedName>
    <definedName name="Budget">#REF!</definedName>
    <definedName name="cc">#REF!</definedName>
    <definedName name="ccc">#N/A</definedName>
    <definedName name="change">#REF!</definedName>
    <definedName name="chart">#REF!</definedName>
    <definedName name="cmethapp">#REF!,#REF!,#REF!</definedName>
    <definedName name="cmethmain">#REF!</definedName>
    <definedName name="Cocoa">OFFSET(#REF!,0,0,COUNTA(#REF!)-5)</definedName>
    <definedName name="Cocoa10">OFFSET(#REF!,0,0,COUNTA(#REF!)-2614)</definedName>
    <definedName name="CocoaST">OFFSET(#REF!,0,0,COUNTA(#REF!)-3918)</definedName>
    <definedName name="CoffeeC">OFFSET(#REF!,0,0,COUNTA(#REF!)-5)</definedName>
    <definedName name="CoffeeC10">OFFSET(#REF!,0,0,COUNTA(#REF!)-2614)</definedName>
    <definedName name="CoffeeCST">OFFSET(#REF!,0,0,COUNTA(#REF!)-3918)</definedName>
    <definedName name="CONS1">#REF!</definedName>
    <definedName name="CONS2">#REF!</definedName>
    <definedName name="Cornbbg">OFFSET(#REF!,0,0,COUNTA(#REF!)-5)</definedName>
    <definedName name="Cornbbg10">OFFSET(#REF!,0,0,COUNTA(#REF!)-2614)</definedName>
    <definedName name="CornbbgST">OFFSET(#REF!,0,0,COUNTA(#REF!)-3918)</definedName>
    <definedName name="Cotton1">OFFSET(#REF!,0,0,COUNTA(#REF!)-5)</definedName>
    <definedName name="Cotton110">OFFSET(#REF!,0,0,COUNTA(#REF!)-2614)</definedName>
    <definedName name="Cotton1ST">OFFSET(#REF!,0,0,COUNTA(#REF!)-3918)</definedName>
    <definedName name="Crt">#REF!</definedName>
    <definedName name="CRUDE1">#REF!</definedName>
    <definedName name="CRUDE2">#REF!</definedName>
    <definedName name="CRUDE3">#REF!</definedName>
    <definedName name="Crush">OFFSET(#REF!,0,0,COUNTA(#REF!)-5)</definedName>
    <definedName name="Crush10">OFFSET(#REF!,0,0,COUNTA(#REF!)-2614)</definedName>
    <definedName name="CrushST">OFFSET(#REF!,0,0,COUNTA(#REF!)-3918)</definedName>
    <definedName name="CurMonth">#REF!</definedName>
    <definedName name="Currency">#REF!</definedName>
    <definedName name="CURRENTYEAR" localSheetId="2">#REF!</definedName>
    <definedName name="CURRENTYEAR">#REF!</definedName>
    <definedName name="cutoff">#REF!</definedName>
    <definedName name="cv" localSheetId="2" hidden="1">#REF!</definedName>
    <definedName name="cv" hidden="1">#REF!</definedName>
    <definedName name="d">#REF!</definedName>
    <definedName name="D126757F_8C22_4332_AE16_6A56D0626CD4_2007_2008_2009_2010_ICE_ChartType" hidden="1">64</definedName>
    <definedName name="D126757F_8C22_4332_AE16_6A56D0626CD4_2007_2008_2009_2010_ICE_distributionSingle" hidden="1">FALSE</definedName>
    <definedName name="D126757F_8C22_4332_AE16_6A56D0626CD4_2007_2008_2009_2010_ICE_HorAxisGridlines" hidden="1">FALSE</definedName>
    <definedName name="D126757F_8C22_4332_AE16_6A56D0626CD4_2007_2008_2009_2010_ICE_VerAxisGridlines" hidden="1">FALSE</definedName>
    <definedName name="D126757F_8C22_4332_AE16_6A56D0626CD4_Days_Supply__QoMo__ChartType" hidden="1">1</definedName>
    <definedName name="D126757F_8C22_4332_AE16_6A56D0626CD4_Days_Supply__QoMo__distributionSingle" hidden="1">FALSE</definedName>
    <definedName name="D126757F_8C22_4332_AE16_6A56D0626CD4_Days_Supply__QoMo__HorAxisGridlines" hidden="1">FALSE</definedName>
    <definedName name="D126757F_8C22_4332_AE16_6A56D0626CD4_Days_Supply__QoMo__VerAxisGridlines" hidden="1">FALSE</definedName>
    <definedName name="D126757F_8C22_4332_AE16_6A56D0626CD4_Total_Stocks__QoMo__ChartType" hidden="1">1</definedName>
    <definedName name="D126757F_8C22_4332_AE16_6A56D0626CD4_Total_Stocks__QoMo__distributionSingle" hidden="1">FALSE</definedName>
    <definedName name="D126757F_8C22_4332_AE16_6A56D0626CD4_Total_Stocks__QoMo__HorAxisGridlines" hidden="1">FALSE</definedName>
    <definedName name="D126757F_8C22_4332_AE16_6A56D0626CD4_Total_Stocks__QoMo__VerAxisGridlines" hidden="1">FALSE</definedName>
    <definedName name="Daily_Depreciation">#REF!</definedName>
    <definedName name="Data">#REF!</definedName>
    <definedName name="data1">#REF!</definedName>
    <definedName name="Data2">#REF!</definedName>
    <definedName name="Dataset">#REF!</definedName>
    <definedName name="Date">OFFSET(#REF!,0,0,COUNTA(#REF!)-4)</definedName>
    <definedName name="Date10">OFFSET(#REF!,0,0,COUNTA(#REF!)-2614)</definedName>
    <definedName name="DateRice">OFFSET(#REF!,0,0,COUNTA(#REF!)-4)</definedName>
    <definedName name="DateRice10">OFFSET(#REF!,0,0,COUNTA(#REF!)-3135)</definedName>
    <definedName name="DateRiceST">OFFSET(#REF!,0,0,COUNTA(#REF!)-4700)</definedName>
    <definedName name="DateST">OFFSET(#REF!,0,0,COUNTA(#REF!)-3918)</definedName>
    <definedName name="dd">#REF!</definedName>
    <definedName name="Deal_Date">#REF!</definedName>
    <definedName name="DEBT">#REF!</definedName>
    <definedName name="E">#REF!</definedName>
    <definedName name="ee">#REF!</definedName>
    <definedName name="eka">#REF!</definedName>
    <definedName name="ele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RTRET" localSheetId="2" hidden="1">#REF!</definedName>
    <definedName name="ERTRET" hidden="1">#REF!</definedName>
    <definedName name="ERY" localSheetId="2" hidden="1">#REF!</definedName>
    <definedName name="ERY" hidden="1">#REF!</definedName>
    <definedName name="ETY">#REF!</definedName>
    <definedName name="EURCRUDE87">#REF!</definedName>
    <definedName name="EURCRUDE88">#REF!</definedName>
    <definedName name="EURPROD87">#REF!</definedName>
    <definedName name="EURPROD88">#REF!</definedName>
    <definedName name="EURTOT87">#REF!</definedName>
    <definedName name="EURTOT88">#REF!</definedName>
    <definedName name="eustocks">#N/A</definedName>
    <definedName name="EWQEQ">#REF!</definedName>
    <definedName name="ex">#REF!</definedName>
    <definedName name="EXPECTARION2">#REF!</definedName>
    <definedName name="EY" localSheetId="2" hidden="1">#REF!</definedName>
    <definedName name="EY" hidden="1">#REF!</definedName>
    <definedName name="fff">#REF!</definedName>
    <definedName name="fg">#REF!</definedName>
    <definedName name="Fig.1">#REF!</definedName>
    <definedName name="FigTitle">#REF!</definedName>
    <definedName name="Figure.3">#REF!</definedName>
    <definedName name="Fisca">#REF!</definedName>
    <definedName name="fx">#REF!</definedName>
    <definedName name="gdp">#REF!</definedName>
    <definedName name="gdpall">#REF!</definedName>
    <definedName name="gdppc">#REF!</definedName>
    <definedName name="gni">#REF!</definedName>
    <definedName name="goafrica">#REF!</definedName>
    <definedName name="goasia">#REF!</definedName>
    <definedName name="goeeup">#REF!</definedName>
    <definedName name="goeurope">#REF!</definedName>
    <definedName name="golamerica">#REF!</definedName>
    <definedName name="gomeast">#REF!</definedName>
    <definedName name="gooecd">#REF!</definedName>
    <definedName name="goopec">#REF!</definedName>
    <definedName name="gosummary">#REF!</definedName>
    <definedName name="GRSDG" localSheetId="2" hidden="1">#REF!</definedName>
    <definedName name="GRSDG" hidden="1">#REF!</definedName>
    <definedName name="h">#N/A</definedName>
    <definedName name="Highest_Inter_Bank_Rate">#REF!</definedName>
    <definedName name="HTML_CodePage" hidden="1">1252</definedName>
    <definedName name="HTML_Description" hidden="1">"(U.S. Dollars per Barrel)"</definedName>
    <definedName name="HTML_Email" hidden="1">"joel.lou@eia.doe.gov"</definedName>
    <definedName name="HTML_Header" hidden="1">"Selected Crude Oil Spot Prices"</definedName>
    <definedName name="HTML_LastUpdate" hidden="1">"10/21/2008"</definedName>
    <definedName name="HTML_LineAfter" hidden="1">TRUE</definedName>
    <definedName name="HTML_LineBefore" hidden="1">TRUE</definedName>
    <definedName name="HTML_Name" hidden="1">"Joel Lou"</definedName>
    <definedName name="HTML_OBDlg2" hidden="1">TRUE</definedName>
    <definedName name="HTML_OBDlg4" hidden="1">TRUE</definedName>
    <definedName name="HTML_OS" hidden="1">0</definedName>
    <definedName name="HTML_PathFile" hidden="1">"v:\prj\iea\intlwbpg\pricexls\crude1.html"</definedName>
    <definedName name="HTML_Title" hidden="1">"Selected Crude Oil Spot Prices"</definedName>
    <definedName name="HVYNONO1">#REF!</definedName>
    <definedName name="HVYNONO2">#REF!</definedName>
    <definedName name="HVYNONOPEC">#REF!</definedName>
    <definedName name="HVYOECD">#REF!</definedName>
    <definedName name="HVYOPEC">#REF!</definedName>
    <definedName name="HVYSUMM">#REF!</definedName>
    <definedName name="INIT">#REF!</definedName>
    <definedName name="INTEREST">#REF!</definedName>
    <definedName name="iuf.kugj">#N/A</definedName>
    <definedName name="IYUIY">#REF!</definedName>
    <definedName name="JAPCRUDE87">#REF!</definedName>
    <definedName name="JAPCRUDE88">#REF!</definedName>
    <definedName name="JAPPROD87">#REF!</definedName>
    <definedName name="JAPPROD88">#REF!</definedName>
    <definedName name="JAPTOT87">#REF!</definedName>
    <definedName name="JAPTOT88">#REF!</definedName>
    <definedName name="k" localSheetId="2" hidden="1">#REF!</definedName>
    <definedName name="k" hidden="1">#REF!</definedName>
    <definedName name="kim">#REF!</definedName>
    <definedName name="KJ">#REF!</definedName>
    <definedName name="LastOpenedWorkSheet">#REF!</definedName>
    <definedName name="LastRefreshed">#REF!</definedName>
    <definedName name="LEAP">#REF!</definedName>
    <definedName name="LGTNONO1">#REF!</definedName>
    <definedName name="LGTNONO2">#REF!</definedName>
    <definedName name="LGTNONOPEC">#REF!</definedName>
    <definedName name="LGTNSUMM">#REF!</definedName>
    <definedName name="LGTOECD">#REF!</definedName>
    <definedName name="LGTOPEC">#REF!</definedName>
    <definedName name="LGTPCNT">#REF!</definedName>
    <definedName name="LOOKUPMTH" localSheetId="2">#REF!</definedName>
    <definedName name="LOOKUPMTH">#REF!</definedName>
    <definedName name="Lowest_Inter_Bank_Rate">#REF!</definedName>
    <definedName name="m">#N/A</definedName>
    <definedName name="maintabs">#REF!,#REF!,#REF!</definedName>
    <definedName name="MealBean">OFFSET(#REF!,0,0,COUNTA(#REF!)-5)</definedName>
    <definedName name="MealBean10">OFFSET(#REF!,0,0,COUNTA(#REF!)-2614)</definedName>
    <definedName name="MealBeanST">OFFSET(#REF!,0,0,COUNTA(#REF!)-3918)</definedName>
    <definedName name="MEDTERM">#REF!</definedName>
    <definedName name="Million_b_d">#REF!</definedName>
    <definedName name="Month" localSheetId="2">#REF!</definedName>
    <definedName name="Month">#REF!</definedName>
    <definedName name="MonthIndex">#REF!</definedName>
    <definedName name="Monthly_trade_query_from_2000">#REF!</definedName>
    <definedName name="MONTHS">#REF!</definedName>
    <definedName name="moodys">#REF!</definedName>
    <definedName name="msci">#REF!</definedName>
    <definedName name="mscid">#REF!</definedName>
    <definedName name="mscil">#REF!</definedName>
    <definedName name="n">#N/A</definedName>
    <definedName name="new">#REF!</definedName>
    <definedName name="nmBlankCell">#REF!</definedName>
    <definedName name="nmBlankRow">#REF!</definedName>
    <definedName name="nmColumnHeader">#REF!</definedName>
    <definedName name="nmData">#REF!</definedName>
    <definedName name="nmIndexTable">#REF!</definedName>
    <definedName name="nmReportFooter">#REF!</definedName>
    <definedName name="nmReportHeader">#N/A</definedName>
    <definedName name="nmReportNotes">#REF!</definedName>
    <definedName name="nmRowHeader">#REF!</definedName>
    <definedName name="nmScale">#REF!</definedName>
    <definedName name="Noah">#REF!</definedName>
    <definedName name="NONLEAP">#REF!</definedName>
    <definedName name="NONOECD1">#REF!</definedName>
    <definedName name="NONOECD2">#REF!</definedName>
    <definedName name="NONOPEC">#REF!</definedName>
    <definedName name="NOPEC1">#REF!</definedName>
    <definedName name="NOPEC2">#REF!</definedName>
    <definedName name="NORM1">#REF!</definedName>
    <definedName name="NORM2">#REF!</definedName>
    <definedName name="NORM3">#REF!</definedName>
    <definedName name="NSUMMARY">#REF!</definedName>
    <definedName name="OECD">#REF!</definedName>
    <definedName name="OilBean">OFFSET(#REF!,0,0,COUNTA(#REF!)-5)</definedName>
    <definedName name="OilBean10">OFFSET(#REF!,0,0,COUNTA(#REF!)-2614)</definedName>
    <definedName name="OilBeanST">OFFSET(#REF!,0,0,COUNTA(#REF!)-3918)</definedName>
    <definedName name="OPEC">#REF!</definedName>
    <definedName name="OPEC1">#REF!</definedName>
    <definedName name="OPEC2">#REF!</definedName>
    <definedName name="PCNTLGT">#REF!</definedName>
    <definedName name="PRES1">#REF!</definedName>
    <definedName name="PRES2">#REF!</definedName>
    <definedName name="PRES3">#REF!</definedName>
    <definedName name="_xlnm.Print_Area" localSheetId="4">'18.D'!#REF!</definedName>
    <definedName name="_xlnm.Print_Area">#REF!,#REF!,#REF!,#REF!,#REF!,#REF!,#REF!</definedName>
    <definedName name="Print_Area_MI">#REF!</definedName>
    <definedName name="_xlnm.Print_Titles" localSheetId="4">'18.D'!#REF!,'18.D'!#REF!</definedName>
    <definedName name="_xlnm.Print_Titles">#REF!</definedName>
    <definedName name="Print1">#REF!</definedName>
    <definedName name="Product">#REF!</definedName>
    <definedName name="Q" localSheetId="2" hidden="1">#REF!</definedName>
    <definedName name="Q" hidden="1">#REF!</definedName>
    <definedName name="qawde">#REF!</definedName>
    <definedName name="qrtdata2">#REF!</definedName>
    <definedName name="QtrData">#REF!</definedName>
    <definedName name="quality">#REF!</definedName>
    <definedName name="QWE" localSheetId="2" hidden="1">#REF!</definedName>
    <definedName name="QWE" hidden="1">#REF!</definedName>
    <definedName name="qweqw">#REF!</definedName>
    <definedName name="raaesrr">#REF!</definedName>
    <definedName name="raas">#REF!</definedName>
    <definedName name="REF">#REF!</definedName>
    <definedName name="rgz\dsf">#N/A</definedName>
    <definedName name="Ricebbg">OFFSET(#REF!,0,0,COUNTA(#REF!)-4)</definedName>
    <definedName name="Ricebbg10">OFFSET(#REF!,0,0,COUNTA(#REF!)-3135)</definedName>
    <definedName name="RicebbgST">OFFSET(#REF!,0,0,COUNTA(#REF!)-4700)</definedName>
    <definedName name="rngPath">#REF!</definedName>
    <definedName name="rngTimeData">#REF!</definedName>
    <definedName name="rngTimeLinks">#REF!</definedName>
    <definedName name="rrasrra">#REF!</definedName>
    <definedName name="RubberRSS3">OFFSET(#REF!,0,0,COUNTA(#REF!)-5)</definedName>
    <definedName name="RubberRSS310">OFFSET(#REF!,0,0,COUNTA(#REF!)-2614)</definedName>
    <definedName name="RubberRSS3ST">OFFSET(#REF!,0,0,COUNTA(#REF!)-3918)</definedName>
    <definedName name="RubberTSR20">OFFSET(#REF!,0,0,COUNTA(#REF!)-5)</definedName>
    <definedName name="RubberTSR2010">OFFSET(#REF!,0,0,COUNTA(#REF!)-2614)</definedName>
    <definedName name="RubberTSR20ST">OFFSET(#REF!,0,0,COUNTA(#REF!)-3918)</definedName>
    <definedName name="s">#REF!</definedName>
    <definedName name="Scale">#REF!</definedName>
    <definedName name="ScaleLabel">#REF!</definedName>
    <definedName name="ScaleMultiplier">#REF!</definedName>
    <definedName name="ScaleType">#REF!</definedName>
    <definedName name="SCOTT1">#REF!</definedName>
    <definedName name="sd">#REF!</definedName>
    <definedName name="SDF" localSheetId="2" hidden="1">#REF!</definedName>
    <definedName name="SDF" hidden="1">#REF!</definedName>
    <definedName name="Sheet1_Chart_2_ChartType" hidden="1">64</definedName>
    <definedName name="sheet2">#REF!</definedName>
    <definedName name="SID">#REF!</definedName>
    <definedName name="snp">#REF!</definedName>
    <definedName name="SortRange">#REF!</definedName>
    <definedName name="Soybeanbbg">OFFSET(#REF!,0,0,COUNTA(#REF!)-5)</definedName>
    <definedName name="Soybeanbbg10">OFFSET(#REF!,0,0,COUNTA(#REF!)-2614)</definedName>
    <definedName name="SoybeanbbgST">OFFSET(#REF!,0,0,COUNTA(#REF!)-3918)</definedName>
    <definedName name="SoybeanCorn">OFFSET(#REF!,0,0,COUNTA(#REF!)-5)</definedName>
    <definedName name="SoybeanCorn10">OFFSET(#REF!,0,0,COUNTA(#REF!)-2614)</definedName>
    <definedName name="SoybeanCornST">OFFSET(#REF!,0,0,COUNTA(#REF!)-3918)</definedName>
    <definedName name="Soybeanmt">OFFSET(#REF!,0,0,COUNTA(#REF!)-5)</definedName>
    <definedName name="SoybeanmtST">OFFSET(#REF!,0,0,COUNTA(#REF!)-3918)</definedName>
    <definedName name="SoybeanWheat">OFFSET(#REF!,0,0,COUNTA(#REF!)-5)</definedName>
    <definedName name="SoybeanWheat10">OFFSET(#REF!,0,0,COUNTA(#REF!)-2614)</definedName>
    <definedName name="SoybeanWheatST">OFFSET(#REF!,0,0,COUNTA(#REF!)-3918)</definedName>
    <definedName name="Soymealbbg">OFFSET(#REF!,0,0,COUNTA(#REF!)-5)</definedName>
    <definedName name="Soymealbbg10">OFFSET(#REF!,0,0,COUNTA(#REF!)-2614)</definedName>
    <definedName name="SoymealbbgST">OFFSET(#REF!,0,0,COUNTA(#REF!)-3918)</definedName>
    <definedName name="Soymealmt">OFFSET(#REF!,0,0,COUNTA(#REF!)-5)</definedName>
    <definedName name="Soymealmt10">OFFSET(#REF!,0,0,COUNTA(#REF!)-2614)</definedName>
    <definedName name="SoymealmtST">OFFSET(#REF!,0,0,COUNTA(#REF!)-3918)</definedName>
    <definedName name="Soyoilbbg">OFFSET(#REF!,0,0,COUNTA(#REF!)-5)</definedName>
    <definedName name="Soyoilbbg10">OFFSET(#REF!,0,0,COUNTA(#REF!)-2614)</definedName>
    <definedName name="SoyoilbbgST">OFFSET(#REF!,0,0,COUNTA(#REF!)-3918)</definedName>
    <definedName name="Soyoilmt">OFFSET(#REF!,0,0,COUNTA(#REF!)-5)</definedName>
    <definedName name="Soyoilmt10">OFFSET(#REF!,0,0,COUNTA(#REF!)-2614)</definedName>
    <definedName name="SoyoilmtST">OFFSET(#REF!,0,0,COUNTA(#REF!)-3918)</definedName>
    <definedName name="Spread_Between_Highest_and_Lowest_Rates">#REF!</definedName>
    <definedName name="SpreadsheetBuilder_1" localSheetId="2" hidden="1">#REF!</definedName>
    <definedName name="SpreadsheetBuilder_1" hidden="1">#REF!</definedName>
    <definedName name="SpreadsheetBuilder_10" hidden="1">#REF!</definedName>
    <definedName name="SpreadsheetBuilder_11" localSheetId="2" hidden="1">#REF!</definedName>
    <definedName name="SpreadsheetBuilder_11" hidden="1">#REF!</definedName>
    <definedName name="SpreadsheetBuilder_12" localSheetId="2" hidden="1">#REF!</definedName>
    <definedName name="SpreadsheetBuilder_12" hidden="1">#REF!</definedName>
    <definedName name="SpreadsheetBuilder_13" hidden="1">#REF!</definedName>
    <definedName name="SpreadsheetBuilder_14" hidden="1">#REF!</definedName>
    <definedName name="SpreadsheetBuilder_15" hidden="1">#REF!</definedName>
    <definedName name="SpreadsheetBuilder_16" localSheetId="2" hidden="1">#REF!</definedName>
    <definedName name="SpreadsheetBuilder_16" hidden="1">#REF!</definedName>
    <definedName name="SpreadsheetBuilder_17" localSheetId="2" hidden="1">#REF!</definedName>
    <definedName name="SpreadsheetBuilder_17" hidden="1">#REF!</definedName>
    <definedName name="SpreadsheetBuilder_18" hidden="1">#REF!</definedName>
    <definedName name="SpreadsheetBuilder_19" hidden="1">#REF!</definedName>
    <definedName name="SpreadsheetBuilder_2" localSheetId="2" hidden="1">#REF!</definedName>
    <definedName name="SpreadsheetBuilder_2" hidden="1">#REF!</definedName>
    <definedName name="SpreadsheetBuilder_20" hidden="1">#REF!</definedName>
    <definedName name="SpreadsheetBuilder_3" hidden="1">#REF!</definedName>
    <definedName name="SpreadsheetBuilder_4" hidden="1">#REF!</definedName>
    <definedName name="SpreadsheetBuilder_5" hidden="1">#REF!</definedName>
    <definedName name="SpreadsheetBuilder_6" hidden="1">#REF!</definedName>
    <definedName name="SpreadsheetBuilder_7" hidden="1">#REF!</definedName>
    <definedName name="SpreadsheetBuilder_8" hidden="1">#REF!</definedName>
    <definedName name="SpreadsheetBuilder_9" localSheetId="2" hidden="1">#REF!</definedName>
    <definedName name="SpreadsheetBuilder_9" hidden="1">#REF!</definedName>
    <definedName name="StartPosition">#REF!</definedName>
    <definedName name="Sugar">OFFSET(#REF!,0,0,COUNTA(#REF!)-5)</definedName>
    <definedName name="Sugar10">OFFSET(#REF!,0,0,COUNTA(#REF!)-2614)</definedName>
    <definedName name="SugarST">OFFSET(#REF!,0,0,COUNTA(#REF!)-3918)</definedName>
    <definedName name="SUPPLY">#REF!</definedName>
    <definedName name="SUPPLY2">#REF!</definedName>
    <definedName name="T">#REF!</definedName>
    <definedName name="Tabe">#REF!</definedName>
    <definedName name="Table_3.5b">#REF!</definedName>
    <definedName name="table1">#REF!</definedName>
    <definedName name="table6"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esta2">#REF!</definedName>
    <definedName name="textToday">#REF!</definedName>
    <definedName name="TOC">#REF!</definedName>
    <definedName name="TOT00">#REF!</definedName>
    <definedName name="TRYRTYRT">#REF!</definedName>
    <definedName name="TSERT" localSheetId="2" hidden="1">#REF!</definedName>
    <definedName name="TSERT" hidden="1">#REF!</definedName>
    <definedName name="tt">#REF!</definedName>
    <definedName name="tta">#REF!</definedName>
    <definedName name="ttaa">#REF!</definedName>
    <definedName name="TUTUIUYO">#REF!</definedName>
    <definedName name="U">#REF!</definedName>
    <definedName name="UnitsLabel">#REF!</definedName>
    <definedName name="USCRUDE87">#REF!</definedName>
    <definedName name="USCRUDE88">#REF!</definedName>
    <definedName name="USDIST87">#REF!</definedName>
    <definedName name="USDIST88">#REF!</definedName>
    <definedName name="USMG87">#REF!</definedName>
    <definedName name="USMG88">#REF!</definedName>
    <definedName name="USPROD87">#REF!</definedName>
    <definedName name="USPROD88">#REF!</definedName>
    <definedName name="USRFO87">#REF!</definedName>
    <definedName name="USRFO88">#REF!</definedName>
    <definedName name="USSR">#REF!</definedName>
    <definedName name="USTOT87">#REF!</definedName>
    <definedName name="USTOT88">#REF!</definedName>
    <definedName name="v">#REF!</definedName>
    <definedName name="VALID_FORMATS">#REF!</definedName>
    <definedName name="vvv">#REF!</definedName>
    <definedName name="W" localSheetId="2" hidden="1">#REF!</definedName>
    <definedName name="W" hidden="1">#REF!</definedName>
    <definedName name="WE">#REF!</definedName>
    <definedName name="Weekly_Depreciation">#REF!</definedName>
    <definedName name="Weighted_Average_Inter_Bank_Exchange_Rate">#REF!</definedName>
    <definedName name="wer">#REF!</definedName>
    <definedName name="Wheatbbg">OFFSET(#REF!,0,0,COUNTA(#REF!)-5)</definedName>
    <definedName name="Wheatbbg10">OFFSET(#REF!,0,0,COUNTA(#REF!)-2614)</definedName>
    <definedName name="WheatbbgST">OFFSET(#REF!,0,0,COUNTA(#REF!)-3918)</definedName>
    <definedName name="WheatCorn">OFFSET(#REF!,0,0,COUNTA(#REF!)-5)</definedName>
    <definedName name="WheatCorn10">OFFSET(#REF!,0,0,COUNTA(#REF!)-2614)</definedName>
    <definedName name="WheatCornST">OFFSET(#REF!,0,0,COUNTA(#REF!)-3918)</definedName>
    <definedName name="wrn.Coal._.Questionnaire." localSheetId="6"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Xaxis">#REF!</definedName>
    <definedName name="xCh1R">OFFSET(#REF!,0,0,COUNTA(#REF!)-1)</definedName>
    <definedName name="xCh2G">OFFSET(#REF!,0,0,COUNTA(#REF!)-1)</definedName>
    <definedName name="xCh2R">OFFSET(#REF!,0,0,COUNTA(#REF!)-1)</definedName>
    <definedName name="xCh3B">OFFSET(#REF!,0,0,COUNTA(#REF!)-1)</definedName>
    <definedName name="xCh3D">OFFSET(#REF!,0,0,COUNTA(#REF!)-9)</definedName>
    <definedName name="xCh3R">OFFSET(#REF!,0,0,COUNTA(#REF!)-1)</definedName>
    <definedName name="xCh4B">OFFSET(#REF!,0,0,COUNTA(#REF!)-1)</definedName>
    <definedName name="xCh4D">OFFSET(#REF!,0,0,COUNTA(#REF!)-1)</definedName>
    <definedName name="xCh4R">OFFSET(#REF!,0,0,COUNTA(#REF!)-1)</definedName>
    <definedName name="xCh5B">OFFSET(#REF!,0,0,COUNTA(#REF!)-1)</definedName>
    <definedName name="xCh5D">OFFSET(#REF!,0,0,COUNTA(#REF!)-1)</definedName>
    <definedName name="xCh5R">OFFSET(#REF!,0,0,COUNTA(#REF!)-1)</definedName>
    <definedName name="xCh6B">OFFSET(#REF!,0,0,COUNTA(#REF!)-1)</definedName>
    <definedName name="xCh6D">OFFSET(#REF!,0,0,COUNTA(#REF!)-1)</definedName>
    <definedName name="xCh7R">OFFSET(#REF!,0,0,COUNTA(#REF!)-1)</definedName>
    <definedName name="xCh8B">OFFSET(#REF!,0,0,COUNTA(#REF!)-1)</definedName>
    <definedName name="xCh8D">OFFSET(#REF!,0,0,COUNTA(#REF!)-1)</definedName>
    <definedName name="xDate">OFFSET(#REF!,0,0,COUNTA(#REF!)-1)</definedName>
    <definedName name="xxx">#REF!</definedName>
    <definedName name="Year">#REF!</definedName>
    <definedName name="YO">#REF!</definedName>
    <definedName name="YRTYRTYRU" localSheetId="2" hidden="1">#REF!</definedName>
    <definedName name="YRTYRTYRU" hidden="1">#REF!</definedName>
    <definedName name="YUIY">#REF!</definedName>
    <definedName name="zrrae">#REF!</definedName>
    <definedName name="zzr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 l="1"/>
  <c r="A6" i="1" l="1"/>
  <c r="A5" i="1"/>
  <c r="A4" i="1"/>
  <c r="A3" i="1"/>
  <c r="A2" i="1"/>
  <c r="V27" i="9" l="1"/>
  <c r="W6" i="9"/>
  <c r="W5" i="9"/>
  <c r="V16" i="9"/>
  <c r="V15" i="9"/>
  <c r="V14" i="9"/>
  <c r="V13" i="9"/>
  <c r="V12" i="9"/>
  <c r="V11" i="9"/>
  <c r="V10" i="9"/>
  <c r="V9" i="9"/>
  <c r="V6" i="9"/>
  <c r="AO41" i="9"/>
  <c r="AN41" i="9"/>
  <c r="AM41" i="9"/>
  <c r="AL41" i="9"/>
  <c r="AQ40" i="9"/>
  <c r="AP40" i="9"/>
  <c r="AO40" i="9"/>
  <c r="AN40" i="9"/>
  <c r="AR35" i="9"/>
  <c r="AQ35" i="9"/>
  <c r="AP35" i="9"/>
  <c r="AO35" i="9"/>
  <c r="AN35" i="9"/>
  <c r="AM35" i="9"/>
  <c r="AM40" i="9" s="1"/>
  <c r="AL35" i="9"/>
  <c r="AL40" i="9" s="1"/>
  <c r="AR34" i="9"/>
  <c r="AQ34" i="9"/>
  <c r="AQ41" i="9" s="1"/>
  <c r="AP34" i="9"/>
  <c r="AP41" i="9" s="1"/>
  <c r="AO34" i="9"/>
  <c r="AN34" i="9"/>
  <c r="AM34" i="9"/>
  <c r="AL34" i="9"/>
  <c r="U16" i="9"/>
  <c r="U14" i="9"/>
  <c r="U13" i="9"/>
  <c r="AE10" i="9"/>
  <c r="AD10" i="9"/>
  <c r="AC10" i="9"/>
  <c r="AB10" i="9"/>
  <c r="AA10" i="9"/>
  <c r="Z10" i="9"/>
  <c r="Y10" i="9"/>
  <c r="AE9" i="9"/>
  <c r="AD9" i="9"/>
  <c r="AC9" i="9"/>
  <c r="AB9" i="9"/>
  <c r="AA9" i="9"/>
  <c r="Z9" i="9"/>
  <c r="Y9" i="9"/>
  <c r="V8" i="9"/>
  <c r="V7" i="9"/>
</calcChain>
</file>

<file path=xl/sharedStrings.xml><?xml version="1.0" encoding="utf-8"?>
<sst xmlns="http://schemas.openxmlformats.org/spreadsheetml/2006/main" count="116" uniqueCount="58">
  <si>
    <t>DAP</t>
  </si>
  <si>
    <t xml:space="preserve">Urea </t>
  </si>
  <si>
    <t>MOP</t>
  </si>
  <si>
    <t>Return to Read Me</t>
  </si>
  <si>
    <t>Ammonia (Tampa), cfr</t>
  </si>
  <si>
    <t>Liquid sulfur (Tampa), fob</t>
  </si>
  <si>
    <t>Natural gas (Europe), TTF (RHS)</t>
  </si>
  <si>
    <t>Sources: Bloomberg; World Bank.</t>
  </si>
  <si>
    <t>DAP Index</t>
  </si>
  <si>
    <t>Urea Index</t>
  </si>
  <si>
    <t>MOP Index</t>
  </si>
  <si>
    <t>Urea</t>
  </si>
  <si>
    <t>Figure 17.C. Fertilizer affordability index</t>
  </si>
  <si>
    <t>Sources: Bloomberg L.P. - Green Markets; World Bank.</t>
  </si>
  <si>
    <t>Source: World Bank.</t>
  </si>
  <si>
    <t>Note: DAP = diammonium phosphate; MOP = muriate of potassium; mt = metric tons. Ratio of fertilizer prices to the food price index. A rising ratio indicates reduced affordability of fertilizers relative to food prices, while a declining ratio suggests improved affordability. Last observation is March 2025.</t>
  </si>
  <si>
    <t xml:space="preserve">DAP </t>
  </si>
  <si>
    <t>Figure 14.C. Cumulative fertilizer exports by China</t>
  </si>
  <si>
    <t>Sum of DAP and Urea</t>
  </si>
  <si>
    <t>2019-21 average</t>
  </si>
  <si>
    <t>Jan</t>
  </si>
  <si>
    <t>Feb</t>
  </si>
  <si>
    <t>Mar</t>
  </si>
  <si>
    <t>Apr</t>
  </si>
  <si>
    <t>May</t>
  </si>
  <si>
    <t>Jun</t>
  </si>
  <si>
    <t>Jul</t>
  </si>
  <si>
    <t>Aug</t>
  </si>
  <si>
    <t>Sep</t>
  </si>
  <si>
    <t>Oct</t>
  </si>
  <si>
    <t>Nov</t>
  </si>
  <si>
    <t>Dec</t>
  </si>
  <si>
    <t>Source: General Administration of Customs of the Republic of China.</t>
  </si>
  <si>
    <t xml:space="preserve">Note: DAP = diammonium phosphate; MOP = muriate of potassium; mt = metric tons. Monthly series. Lines show the sum of DAP and Urea exports by China. </t>
  </si>
  <si>
    <t>Ammonia</t>
  </si>
  <si>
    <t>DAP/MAP</t>
  </si>
  <si>
    <t>Natural gas</t>
  </si>
  <si>
    <t>Potash</t>
  </si>
  <si>
    <t>Sulphur</t>
  </si>
  <si>
    <t>Fertilizers</t>
  </si>
  <si>
    <t>Phosphate 
rock</t>
  </si>
  <si>
    <t>Phosphate
rock</t>
  </si>
  <si>
    <t>Feedstock</t>
  </si>
  <si>
    <t>Figure 18.A. Fertilizer prices</t>
  </si>
  <si>
    <t>Note: DAP = diammonium phosphate; MOP = muriate of potassium; mt = metric tons. Monthly series. Last observation is March 2026.</t>
  </si>
  <si>
    <t>Figure 18.B. Fertilizer input costs</t>
  </si>
  <si>
    <t>Sources: General Administration of Customs of the People’s Republic of China; World Bank.</t>
  </si>
  <si>
    <t>Note: DAP = diammonium phosphate; mt = metric ton. Bars show total exports of DAP and urea from China during January and February each year.</t>
  </si>
  <si>
    <t>Figure 18.C. Fertilizer exports from China, cumulative through February</t>
  </si>
  <si>
    <t>Figure 18.D. Fertilizer affordability indexes</t>
  </si>
  <si>
    <t xml:space="preserve">Note: DAP = diammonium phosphate; MOP = muriate of potassium; mt = metric tons. Monthly series. Last observation is March 2026. Fertilizer affordability is calculated as the ratio of fertilizer prices to the food price index. </t>
  </si>
  <si>
    <t>Figure 18.E. Fertilizer exports from the Middle East as share of global exports</t>
  </si>
  <si>
    <t>Figure 18. Fertilizer markets</t>
  </si>
  <si>
    <t xml:space="preserve">Figure 18.F. Global fertilizer exports as share of global production </t>
  </si>
  <si>
    <t>Note: cfr=cost and freight; fob=free on board; mmbtu = million British thermal units; mt=metric tons; RHS = right hand scale; TTF = title transfer facility. Monthly series. Last observation is March 2026.</t>
  </si>
  <si>
    <t>Note: DAP = diammonium phosphate; MAP = monoammonium phosphate. Data refer to 2024. The “Middle East” classification follows source-specific definitions (Energy Institute, International Fertilizer Association, and S&amp;P Global), which may differ across datasets. Note that estimates of the region’s role in global fertilizer production, trade, and market exposure vary across reports, reflecting differences in reference year, data sources (e.g., FAO, IFA, UNCTAD, WITS), trade definitions (global vs. seaborne), units (volume, value, or nutrient content), and geographic scope (e.g., West Asia, Middle East, Gulf countries).</t>
  </si>
  <si>
    <t>Sources: S&amp;P Global; The Energy Institute; The International Fertilizer Association (IFA); World Bank.</t>
  </si>
  <si>
    <t>Sources: Energy Institute (database); S&amp;P Global; The International Fertilizer Association (database); World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</si>
</sst>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yy;@"/>
    <numFmt numFmtId="165" formatCode="_(* #,##0_);_(* \(#,##0\);_(* &quot;-&quot;??_);_(@_)"/>
    <numFmt numFmtId="166" formatCode="0.0"/>
  </numFmts>
  <fonts count="20">
    <font>
      <sz val="11"/>
      <color theme="1"/>
      <name val="Calibri"/>
      <family val="2"/>
      <scheme val="minor"/>
    </font>
    <font>
      <sz val="14"/>
      <color theme="1"/>
      <name val="Arial"/>
      <family val="2"/>
    </font>
    <font>
      <sz val="14"/>
      <color theme="1"/>
      <name val="Arial"/>
      <family val="2"/>
    </font>
    <font>
      <sz val="14"/>
      <color theme="1"/>
      <name val="Arial"/>
      <family val="2"/>
    </font>
    <font>
      <sz val="14"/>
      <color theme="1"/>
      <name val="Arial"/>
      <family val="2"/>
    </font>
    <font>
      <sz val="14"/>
      <color theme="1"/>
      <name val="Arial"/>
      <family val="2"/>
    </font>
    <font>
      <sz val="11"/>
      <color theme="1"/>
      <name val="Calibri"/>
      <family val="2"/>
      <scheme val="minor"/>
    </font>
    <font>
      <u/>
      <sz val="11"/>
      <color theme="10"/>
      <name val="Calibri"/>
      <family val="2"/>
      <scheme val="minor"/>
    </font>
    <font>
      <b/>
      <sz val="14"/>
      <color theme="1"/>
      <name val="Arial"/>
      <family val="2"/>
    </font>
    <font>
      <u/>
      <sz val="14"/>
      <color theme="10"/>
      <name val="Arial"/>
      <family val="2"/>
    </font>
    <font>
      <sz val="14"/>
      <color theme="1"/>
      <name val="Arial"/>
      <family val="2"/>
    </font>
    <font>
      <b/>
      <sz val="20"/>
      <color rgb="FF000000"/>
      <name val="Arial"/>
      <family val="2"/>
    </font>
    <font>
      <sz val="14"/>
      <name val="Arial"/>
      <family val="2"/>
    </font>
    <font>
      <b/>
      <sz val="20"/>
      <color theme="1"/>
      <name val="Arial"/>
      <family val="2"/>
    </font>
    <font>
      <b/>
      <sz val="11"/>
      <color indexed="8"/>
      <name val="宋体"/>
      <charset val="134"/>
    </font>
    <font>
      <sz val="10"/>
      <name val="Arial"/>
      <family val="2"/>
    </font>
    <font>
      <sz val="10"/>
      <name val="Arial"/>
      <family val="2"/>
    </font>
    <font>
      <b/>
      <sz val="11"/>
      <color theme="1"/>
      <name val="Calibri"/>
      <family val="2"/>
      <scheme val="minor"/>
    </font>
    <font>
      <b/>
      <sz val="11"/>
      <name val="Calibri"/>
      <family val="2"/>
    </font>
    <font>
      <sz val="10"/>
      <name val="Arial"/>
      <family val="2"/>
    </font>
  </fonts>
  <fills count="3">
    <fill>
      <patternFill patternType="none"/>
    </fill>
    <fill>
      <patternFill patternType="gray125"/>
    </fill>
    <fill>
      <patternFill patternType="solid">
        <fgColor rgb="FFFEE9D3"/>
        <bgColor indexed="64"/>
      </patternFill>
    </fill>
  </fills>
  <borders count="1">
    <border>
      <left/>
      <right/>
      <top/>
      <bottom/>
      <diagonal/>
    </border>
  </borders>
  <cellStyleXfs count="9">
    <xf numFmtId="0" fontId="0" fillId="0" borderId="0"/>
    <xf numFmtId="43" fontId="6" fillId="0" borderId="0" applyFont="0" applyFill="0" applyBorder="0" applyAlignment="0" applyProtection="0"/>
    <xf numFmtId="0" fontId="7" fillId="0" borderId="0" applyNumberFormat="0" applyFill="0" applyBorder="0" applyAlignment="0" applyProtection="0"/>
    <xf numFmtId="0" fontId="16" fillId="0" borderId="0"/>
    <xf numFmtId="0" fontId="15" fillId="0" borderId="0"/>
    <xf numFmtId="0" fontId="19" fillId="0" borderId="0"/>
    <xf numFmtId="9" fontId="19" fillId="0" borderId="0" applyFont="0" applyFill="0" applyBorder="0" applyAlignment="0" applyProtection="0"/>
    <xf numFmtId="0" fontId="4" fillId="0" borderId="0"/>
    <xf numFmtId="0" fontId="3" fillId="0" borderId="0"/>
  </cellStyleXfs>
  <cellXfs count="50">
    <xf numFmtId="0" fontId="0" fillId="0" borderId="0" xfId="0"/>
    <xf numFmtId="0" fontId="8" fillId="0" borderId="0" xfId="0" applyFont="1"/>
    <xf numFmtId="0" fontId="9" fillId="0" borderId="0" xfId="2" applyFont="1"/>
    <xf numFmtId="0" fontId="10" fillId="0" borderId="0" xfId="0" applyFont="1"/>
    <xf numFmtId="0" fontId="11" fillId="0" borderId="0" xfId="0" applyFont="1"/>
    <xf numFmtId="43" fontId="12" fillId="0" borderId="0" xfId="1" applyFont="1" applyFill="1" applyAlignment="1">
      <alignment horizontal="left" wrapText="1"/>
    </xf>
    <xf numFmtId="164" fontId="10" fillId="0" borderId="0" xfId="0" applyNumberFormat="1" applyFont="1" applyAlignment="1">
      <alignment horizontal="left"/>
    </xf>
    <xf numFmtId="0" fontId="10" fillId="0" borderId="0" xfId="0" applyFont="1" applyAlignment="1">
      <alignment horizontal="left" vertical="top"/>
    </xf>
    <xf numFmtId="0" fontId="0" fillId="0" borderId="0" xfId="0" applyAlignment="1">
      <alignment horizontal="left"/>
    </xf>
    <xf numFmtId="0" fontId="13" fillId="0" borderId="0" xfId="0" applyFont="1"/>
    <xf numFmtId="0" fontId="14" fillId="0" borderId="0" xfId="0" applyFont="1" applyAlignment="1">
      <alignment horizontal="center" vertical="center"/>
    </xf>
    <xf numFmtId="2" fontId="10" fillId="0" borderId="0" xfId="0" applyNumberFormat="1" applyFont="1" applyAlignment="1">
      <alignment horizontal="left"/>
    </xf>
    <xf numFmtId="0" fontId="17" fillId="0" borderId="0" xfId="0" applyFont="1"/>
    <xf numFmtId="0" fontId="0" fillId="0" borderId="0" xfId="1" applyNumberFormat="1" applyFont="1"/>
    <xf numFmtId="0" fontId="18" fillId="0" borderId="0" xfId="4" applyFont="1" applyAlignment="1">
      <alignment wrapText="1"/>
    </xf>
    <xf numFmtId="165" fontId="0" fillId="0" borderId="0" xfId="1" applyNumberFormat="1" applyFont="1"/>
    <xf numFmtId="43" fontId="12" fillId="0" borderId="0" xfId="1" applyFont="1" applyFill="1" applyAlignment="1">
      <alignment horizontal="left"/>
    </xf>
    <xf numFmtId="2" fontId="15" fillId="0" borderId="0" xfId="0" applyNumberFormat="1" applyFont="1"/>
    <xf numFmtId="2" fontId="15" fillId="2" borderId="0" xfId="0" applyNumberFormat="1" applyFont="1" applyFill="1"/>
    <xf numFmtId="166" fontId="0" fillId="0" borderId="0" xfId="0" applyNumberFormat="1"/>
    <xf numFmtId="166" fontId="15" fillId="2" borderId="0" xfId="0" applyNumberFormat="1" applyFont="1" applyFill="1" applyAlignment="1">
      <alignment horizontal="right"/>
    </xf>
    <xf numFmtId="166" fontId="15" fillId="0" borderId="0" xfId="0" applyNumberFormat="1" applyFont="1" applyAlignment="1">
      <alignment horizontal="right"/>
    </xf>
    <xf numFmtId="0" fontId="7" fillId="0" borderId="0" xfId="2"/>
    <xf numFmtId="0" fontId="5" fillId="0" borderId="0" xfId="0" applyFont="1"/>
    <xf numFmtId="38" fontId="0" fillId="0" borderId="0" xfId="0" applyNumberFormat="1"/>
    <xf numFmtId="0" fontId="4" fillId="0" borderId="0" xfId="0" applyFont="1"/>
    <xf numFmtId="0" fontId="17"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3" fillId="0" borderId="0" xfId="8"/>
    <xf numFmtId="0" fontId="2" fillId="0" borderId="0" xfId="8" applyFont="1"/>
    <xf numFmtId="0" fontId="2" fillId="0" borderId="0" xfId="0" applyFont="1"/>
    <xf numFmtId="164" fontId="2" fillId="0" borderId="0" xfId="0" applyNumberFormat="1" applyFont="1" applyAlignment="1">
      <alignment horizontal="left"/>
    </xf>
    <xf numFmtId="0" fontId="2" fillId="0" borderId="0" xfId="0" applyFont="1" applyAlignment="1">
      <alignment horizontal="left" vertical="top"/>
    </xf>
    <xf numFmtId="2" fontId="2" fillId="0" borderId="0" xfId="0" applyNumberFormat="1" applyFont="1"/>
    <xf numFmtId="0" fontId="2" fillId="0" borderId="0" xfId="0" applyFont="1" applyAlignment="1">
      <alignment horizontal="left"/>
    </xf>
    <xf numFmtId="0" fontId="2" fillId="0" borderId="0" xfId="0" applyFont="1" applyAlignment="1">
      <alignment vertical="top" wrapText="1"/>
    </xf>
    <xf numFmtId="0" fontId="2" fillId="0" borderId="0" xfId="0" applyFont="1" applyAlignment="1">
      <alignment vertical="top"/>
    </xf>
    <xf numFmtId="2" fontId="2" fillId="0" borderId="0" xfId="1" applyNumberFormat="1" applyFont="1"/>
    <xf numFmtId="0" fontId="2" fillId="0" borderId="0" xfId="0" applyFont="1" applyAlignment="1">
      <alignment wrapText="1"/>
    </xf>
    <xf numFmtId="0" fontId="12" fillId="0" borderId="0" xfId="5" applyFont="1" applyAlignment="1">
      <alignment horizontal="right"/>
    </xf>
    <xf numFmtId="14" fontId="12" fillId="0" borderId="0" xfId="5" applyNumberFormat="1" applyFont="1" applyAlignment="1">
      <alignment horizontal="right"/>
    </xf>
    <xf numFmtId="2" fontId="12" fillId="0" borderId="0" xfId="5" applyNumberFormat="1" applyFont="1" applyAlignment="1">
      <alignment horizontal="right"/>
    </xf>
    <xf numFmtId="0" fontId="12" fillId="0" borderId="0" xfId="0" applyFont="1"/>
    <xf numFmtId="0" fontId="2" fillId="0" borderId="0" xfId="0" applyFont="1" applyAlignment="1">
      <alignment horizontal="left" vertical="top" wrapText="1"/>
    </xf>
    <xf numFmtId="0" fontId="2" fillId="0" borderId="0" xfId="0" applyFont="1" applyAlignment="1">
      <alignment horizontal="left" vertical="top"/>
    </xf>
    <xf numFmtId="0" fontId="5" fillId="0" borderId="0" xfId="0" applyFont="1" applyAlignment="1">
      <alignment horizontal="left" vertical="top" wrapText="1"/>
    </xf>
    <xf numFmtId="0" fontId="10" fillId="0" borderId="0" xfId="0" applyFont="1" applyAlignment="1">
      <alignment horizontal="left" vertical="top" wrapText="1"/>
    </xf>
    <xf numFmtId="0" fontId="5" fillId="0" borderId="0" xfId="0" applyFont="1" applyAlignment="1">
      <alignment horizontal="left" vertical="top"/>
    </xf>
    <xf numFmtId="0" fontId="1" fillId="0" borderId="0" xfId="0" applyFont="1" applyAlignment="1">
      <alignment vertical="top"/>
    </xf>
  </cellXfs>
  <cellStyles count="9">
    <cellStyle name="Comma" xfId="1" builtinId="3"/>
    <cellStyle name="Hyperlink" xfId="2" builtinId="8"/>
    <cellStyle name="Normal" xfId="0" builtinId="0"/>
    <cellStyle name="Normal 2" xfId="4" xr:uid="{B566EEF0-FA05-4A65-AAE7-471072666604}"/>
    <cellStyle name="Normal 3" xfId="3" xr:uid="{D0D45E5C-27B2-431B-92C6-7152523DD79E}"/>
    <cellStyle name="Normal 4" xfId="5" xr:uid="{3E4339BF-F7D5-40A2-9F5E-7C7FF2A243D5}"/>
    <cellStyle name="Normal 5" xfId="7" xr:uid="{9D232164-CB65-4759-81FC-C60854C1D57B}"/>
    <cellStyle name="Normal 6" xfId="8" xr:uid="{0482C68B-8628-4733-8A49-66CB95C77FF6}"/>
    <cellStyle name="Percent 2" xfId="6" xr:uid="{C4526AD7-5358-44C1-834D-81C0C5AB5A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73597337989659"/>
          <c:y val="0.11042461358996793"/>
          <c:w val="0.80463285256732087"/>
          <c:h val="0.65152260134149897"/>
        </c:manualLayout>
      </c:layout>
      <c:lineChart>
        <c:grouping val="standard"/>
        <c:varyColors val="0"/>
        <c:ser>
          <c:idx val="1"/>
          <c:order val="0"/>
          <c:tx>
            <c:strRef>
              <c:f>'18.A'!$R$2</c:f>
              <c:strCache>
                <c:ptCount val="1"/>
                <c:pt idx="0">
                  <c:v> DAP </c:v>
                </c:pt>
              </c:strCache>
            </c:strRef>
          </c:tx>
          <c:spPr>
            <a:ln w="76200">
              <a:solidFill>
                <a:schemeClr val="accent1"/>
              </a:solidFill>
            </a:ln>
          </c:spPr>
          <c:marker>
            <c:symbol val="none"/>
          </c:marker>
          <c:cat>
            <c:numRef>
              <c:f>'18.A'!$Q$3:$Q$121</c:f>
              <c:numCache>
                <c:formatCode>[$-409]mmm\-yy;@</c:formatCode>
                <c:ptCount val="11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45598</c:v>
                </c:pt>
                <c:pt idx="59">
                  <c:v>45630</c:v>
                </c:pt>
                <c:pt idx="60">
                  <c:v>45662</c:v>
                </c:pt>
                <c:pt idx="61">
                  <c:v>45694</c:v>
                </c:pt>
                <c:pt idx="62">
                  <c:v>45726</c:v>
                </c:pt>
                <c:pt idx="63">
                  <c:v>45758</c:v>
                </c:pt>
                <c:pt idx="64">
                  <c:v>45790</c:v>
                </c:pt>
                <c:pt idx="65">
                  <c:v>45822</c:v>
                </c:pt>
                <c:pt idx="66">
                  <c:v>45854</c:v>
                </c:pt>
                <c:pt idx="67">
                  <c:v>45886</c:v>
                </c:pt>
                <c:pt idx="68">
                  <c:v>45918</c:v>
                </c:pt>
                <c:pt idx="69">
                  <c:v>45950</c:v>
                </c:pt>
                <c:pt idx="70">
                  <c:v>45982</c:v>
                </c:pt>
                <c:pt idx="71">
                  <c:v>46014</c:v>
                </c:pt>
                <c:pt idx="72">
                  <c:v>46046</c:v>
                </c:pt>
                <c:pt idx="73">
                  <c:v>46078</c:v>
                </c:pt>
                <c:pt idx="74">
                  <c:v>46110</c:v>
                </c:pt>
              </c:numCache>
            </c:numRef>
          </c:cat>
          <c:val>
            <c:numRef>
              <c:f>'18.A'!$R$3:$R$121</c:f>
              <c:numCache>
                <c:formatCode>General</c:formatCode>
                <c:ptCount val="119"/>
                <c:pt idx="0">
                  <c:v>264.89999999999998</c:v>
                </c:pt>
                <c:pt idx="1">
                  <c:v>279.39999999999998</c:v>
                </c:pt>
                <c:pt idx="2">
                  <c:v>276.2</c:v>
                </c:pt>
                <c:pt idx="3">
                  <c:v>282</c:v>
                </c:pt>
                <c:pt idx="4">
                  <c:v>263</c:v>
                </c:pt>
                <c:pt idx="5">
                  <c:v>273</c:v>
                </c:pt>
                <c:pt idx="6">
                  <c:v>305.10000000000002</c:v>
                </c:pt>
                <c:pt idx="7">
                  <c:v>341.9</c:v>
                </c:pt>
                <c:pt idx="8">
                  <c:v>358.4</c:v>
                </c:pt>
                <c:pt idx="9">
                  <c:v>357.1</c:v>
                </c:pt>
                <c:pt idx="10">
                  <c:v>359.6</c:v>
                </c:pt>
                <c:pt idx="11">
                  <c:v>388.5</c:v>
                </c:pt>
                <c:pt idx="12">
                  <c:v>421.3</c:v>
                </c:pt>
                <c:pt idx="13">
                  <c:v>528.9</c:v>
                </c:pt>
                <c:pt idx="14">
                  <c:v>534.1</c:v>
                </c:pt>
                <c:pt idx="15">
                  <c:v>543.4</c:v>
                </c:pt>
                <c:pt idx="16">
                  <c:v>574.6</c:v>
                </c:pt>
                <c:pt idx="17">
                  <c:v>604.79999999999995</c:v>
                </c:pt>
                <c:pt idx="18">
                  <c:v>613</c:v>
                </c:pt>
                <c:pt idx="19">
                  <c:v>603.1</c:v>
                </c:pt>
                <c:pt idx="20">
                  <c:v>643.79999999999995</c:v>
                </c:pt>
                <c:pt idx="21">
                  <c:v>672.9</c:v>
                </c:pt>
                <c:pt idx="22">
                  <c:v>726.7</c:v>
                </c:pt>
                <c:pt idx="23">
                  <c:v>745</c:v>
                </c:pt>
                <c:pt idx="24">
                  <c:v>699.4</c:v>
                </c:pt>
                <c:pt idx="25">
                  <c:v>747.1</c:v>
                </c:pt>
                <c:pt idx="26">
                  <c:v>938.1</c:v>
                </c:pt>
                <c:pt idx="27">
                  <c:v>954</c:v>
                </c:pt>
                <c:pt idx="28">
                  <c:v>842.5</c:v>
                </c:pt>
                <c:pt idx="29">
                  <c:v>783.8</c:v>
                </c:pt>
                <c:pt idx="30">
                  <c:v>784</c:v>
                </c:pt>
                <c:pt idx="31">
                  <c:v>749.4</c:v>
                </c:pt>
                <c:pt idx="32">
                  <c:v>752</c:v>
                </c:pt>
                <c:pt idx="33">
                  <c:v>725</c:v>
                </c:pt>
                <c:pt idx="34">
                  <c:v>665.6</c:v>
                </c:pt>
                <c:pt idx="35">
                  <c:v>625</c:v>
                </c:pt>
                <c:pt idx="36">
                  <c:v>631</c:v>
                </c:pt>
                <c:pt idx="37">
                  <c:v>612.5</c:v>
                </c:pt>
                <c:pt idx="38">
                  <c:v>606</c:v>
                </c:pt>
                <c:pt idx="39">
                  <c:v>637</c:v>
                </c:pt>
                <c:pt idx="40">
                  <c:v>510</c:v>
                </c:pt>
                <c:pt idx="41">
                  <c:v>454.6</c:v>
                </c:pt>
                <c:pt idx="42">
                  <c:v>458.8</c:v>
                </c:pt>
                <c:pt idx="43">
                  <c:v>528.79999999999995</c:v>
                </c:pt>
                <c:pt idx="44">
                  <c:v>527.9</c:v>
                </c:pt>
                <c:pt idx="45">
                  <c:v>534.79999999999995</c:v>
                </c:pt>
                <c:pt idx="46">
                  <c:v>535.6</c:v>
                </c:pt>
                <c:pt idx="47">
                  <c:v>563.79999999999995</c:v>
                </c:pt>
                <c:pt idx="48">
                  <c:v>596.29999999999995</c:v>
                </c:pt>
                <c:pt idx="49">
                  <c:v>583.79999999999995</c:v>
                </c:pt>
                <c:pt idx="50">
                  <c:v>617.5</c:v>
                </c:pt>
                <c:pt idx="51">
                  <c:v>545</c:v>
                </c:pt>
                <c:pt idx="52">
                  <c:v>522</c:v>
                </c:pt>
                <c:pt idx="53">
                  <c:v>543</c:v>
                </c:pt>
                <c:pt idx="54">
                  <c:v>539.4</c:v>
                </c:pt>
                <c:pt idx="55">
                  <c:v>546</c:v>
                </c:pt>
                <c:pt idx="56">
                  <c:v>554.79999999999995</c:v>
                </c:pt>
                <c:pt idx="57">
                  <c:v>573.4</c:v>
                </c:pt>
                <c:pt idx="58">
                  <c:v>574.5</c:v>
                </c:pt>
                <c:pt idx="59">
                  <c:v>568.29999999999995</c:v>
                </c:pt>
                <c:pt idx="60">
                  <c:v>582.70000000000005</c:v>
                </c:pt>
                <c:pt idx="61">
                  <c:v>603.79999999999995</c:v>
                </c:pt>
                <c:pt idx="62">
                  <c:v>615.1</c:v>
                </c:pt>
                <c:pt idx="63">
                  <c:v>635</c:v>
                </c:pt>
                <c:pt idx="64">
                  <c:v>669.2</c:v>
                </c:pt>
                <c:pt idx="65">
                  <c:v>715.4</c:v>
                </c:pt>
                <c:pt idx="66">
                  <c:v>736</c:v>
                </c:pt>
                <c:pt idx="67">
                  <c:v>795.1</c:v>
                </c:pt>
                <c:pt idx="68">
                  <c:v>780.6</c:v>
                </c:pt>
                <c:pt idx="69">
                  <c:v>754</c:v>
                </c:pt>
                <c:pt idx="70" formatCode="0.00">
                  <c:v>708.3</c:v>
                </c:pt>
                <c:pt idx="71" formatCode="0.00">
                  <c:v>627.5</c:v>
                </c:pt>
                <c:pt idx="72" formatCode="0.00">
                  <c:v>619.20000000000005</c:v>
                </c:pt>
                <c:pt idx="73" formatCode="0.00">
                  <c:v>626.5</c:v>
                </c:pt>
                <c:pt idx="74" formatCode="0.00">
                  <c:v>658.3</c:v>
                </c:pt>
              </c:numCache>
            </c:numRef>
          </c:val>
          <c:smooth val="0"/>
          <c:extLst>
            <c:ext xmlns:c16="http://schemas.microsoft.com/office/drawing/2014/chart" uri="{C3380CC4-5D6E-409C-BE32-E72D297353CC}">
              <c16:uniqueId val="{00000000-7DB9-4775-8FD6-E891BBE17515}"/>
            </c:ext>
          </c:extLst>
        </c:ser>
        <c:ser>
          <c:idx val="0"/>
          <c:order val="1"/>
          <c:tx>
            <c:strRef>
              <c:f>'18.A'!$S$2</c:f>
              <c:strCache>
                <c:ptCount val="1"/>
                <c:pt idx="0">
                  <c:v> Urea  </c:v>
                </c:pt>
              </c:strCache>
            </c:strRef>
          </c:tx>
          <c:spPr>
            <a:ln w="76200">
              <a:solidFill>
                <a:schemeClr val="accent2"/>
              </a:solidFill>
            </a:ln>
          </c:spPr>
          <c:marker>
            <c:symbol val="none"/>
          </c:marker>
          <c:cat>
            <c:numRef>
              <c:f>'18.A'!$Q$3:$Q$121</c:f>
              <c:numCache>
                <c:formatCode>[$-409]mmm\-yy;@</c:formatCode>
                <c:ptCount val="11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45598</c:v>
                </c:pt>
                <c:pt idx="59">
                  <c:v>45630</c:v>
                </c:pt>
                <c:pt idx="60">
                  <c:v>45662</c:v>
                </c:pt>
                <c:pt idx="61">
                  <c:v>45694</c:v>
                </c:pt>
                <c:pt idx="62">
                  <c:v>45726</c:v>
                </c:pt>
                <c:pt idx="63">
                  <c:v>45758</c:v>
                </c:pt>
                <c:pt idx="64">
                  <c:v>45790</c:v>
                </c:pt>
                <c:pt idx="65">
                  <c:v>45822</c:v>
                </c:pt>
                <c:pt idx="66">
                  <c:v>45854</c:v>
                </c:pt>
                <c:pt idx="67">
                  <c:v>45886</c:v>
                </c:pt>
                <c:pt idx="68">
                  <c:v>45918</c:v>
                </c:pt>
                <c:pt idx="69">
                  <c:v>45950</c:v>
                </c:pt>
                <c:pt idx="70">
                  <c:v>45982</c:v>
                </c:pt>
                <c:pt idx="71">
                  <c:v>46014</c:v>
                </c:pt>
                <c:pt idx="72">
                  <c:v>46046</c:v>
                </c:pt>
                <c:pt idx="73">
                  <c:v>46078</c:v>
                </c:pt>
                <c:pt idx="74">
                  <c:v>46110</c:v>
                </c:pt>
              </c:numCache>
            </c:numRef>
          </c:cat>
          <c:val>
            <c:numRef>
              <c:f>'18.A'!$S$3:$S$121</c:f>
              <c:numCache>
                <c:formatCode>General</c:formatCode>
                <c:ptCount val="119"/>
                <c:pt idx="0">
                  <c:v>215.4</c:v>
                </c:pt>
                <c:pt idx="1">
                  <c:v>214.4</c:v>
                </c:pt>
                <c:pt idx="2">
                  <c:v>231.1</c:v>
                </c:pt>
                <c:pt idx="3">
                  <c:v>235</c:v>
                </c:pt>
                <c:pt idx="4">
                  <c:v>201.9</c:v>
                </c:pt>
                <c:pt idx="5">
                  <c:v>202</c:v>
                </c:pt>
                <c:pt idx="6">
                  <c:v>214.4</c:v>
                </c:pt>
                <c:pt idx="7">
                  <c:v>249.5</c:v>
                </c:pt>
                <c:pt idx="8">
                  <c:v>250.5</c:v>
                </c:pt>
                <c:pt idx="9">
                  <c:v>245</c:v>
                </c:pt>
                <c:pt idx="10">
                  <c:v>245</c:v>
                </c:pt>
                <c:pt idx="11">
                  <c:v>245</c:v>
                </c:pt>
                <c:pt idx="12">
                  <c:v>265</c:v>
                </c:pt>
                <c:pt idx="13">
                  <c:v>335</c:v>
                </c:pt>
                <c:pt idx="14">
                  <c:v>352.9</c:v>
                </c:pt>
                <c:pt idx="15">
                  <c:v>328.1</c:v>
                </c:pt>
                <c:pt idx="16">
                  <c:v>331.6</c:v>
                </c:pt>
                <c:pt idx="17">
                  <c:v>393.3</c:v>
                </c:pt>
                <c:pt idx="18">
                  <c:v>441.5</c:v>
                </c:pt>
                <c:pt idx="19">
                  <c:v>446.9</c:v>
                </c:pt>
                <c:pt idx="20">
                  <c:v>418.8</c:v>
                </c:pt>
                <c:pt idx="21">
                  <c:v>695</c:v>
                </c:pt>
                <c:pt idx="22">
                  <c:v>900.5</c:v>
                </c:pt>
                <c:pt idx="23">
                  <c:v>890</c:v>
                </c:pt>
                <c:pt idx="24">
                  <c:v>846.4</c:v>
                </c:pt>
                <c:pt idx="25">
                  <c:v>744.2</c:v>
                </c:pt>
                <c:pt idx="26">
                  <c:v>872.5</c:v>
                </c:pt>
                <c:pt idx="27">
                  <c:v>925</c:v>
                </c:pt>
                <c:pt idx="28">
                  <c:v>707.5</c:v>
                </c:pt>
                <c:pt idx="29">
                  <c:v>690</c:v>
                </c:pt>
                <c:pt idx="30">
                  <c:v>601</c:v>
                </c:pt>
                <c:pt idx="31">
                  <c:v>591.29999999999995</c:v>
                </c:pt>
                <c:pt idx="32">
                  <c:v>678</c:v>
                </c:pt>
                <c:pt idx="33">
                  <c:v>636.29999999999995</c:v>
                </c:pt>
                <c:pt idx="34">
                  <c:v>588.79999999999995</c:v>
                </c:pt>
                <c:pt idx="35">
                  <c:v>519.4</c:v>
                </c:pt>
                <c:pt idx="36">
                  <c:v>443.8</c:v>
                </c:pt>
                <c:pt idx="37">
                  <c:v>357.5</c:v>
                </c:pt>
                <c:pt idx="38">
                  <c:v>313.5</c:v>
                </c:pt>
                <c:pt idx="39">
                  <c:v>313.39999999999998</c:v>
                </c:pt>
                <c:pt idx="40">
                  <c:v>329.3</c:v>
                </c:pt>
                <c:pt idx="41">
                  <c:v>287.5</c:v>
                </c:pt>
                <c:pt idx="42">
                  <c:v>334.6</c:v>
                </c:pt>
                <c:pt idx="43">
                  <c:v>385.6</c:v>
                </c:pt>
                <c:pt idx="44">
                  <c:v>380</c:v>
                </c:pt>
                <c:pt idx="45">
                  <c:v>411.4</c:v>
                </c:pt>
                <c:pt idx="46">
                  <c:v>385.5</c:v>
                </c:pt>
                <c:pt idx="47">
                  <c:v>354</c:v>
                </c:pt>
                <c:pt idx="48">
                  <c:v>335.4</c:v>
                </c:pt>
                <c:pt idx="49">
                  <c:v>351.3</c:v>
                </c:pt>
                <c:pt idx="50">
                  <c:v>330</c:v>
                </c:pt>
                <c:pt idx="51">
                  <c:v>320</c:v>
                </c:pt>
                <c:pt idx="52">
                  <c:v>284.8</c:v>
                </c:pt>
                <c:pt idx="53">
                  <c:v>336.3</c:v>
                </c:pt>
                <c:pt idx="54">
                  <c:v>342.5</c:v>
                </c:pt>
                <c:pt idx="55">
                  <c:v>342.5</c:v>
                </c:pt>
                <c:pt idx="56">
                  <c:v>337.5</c:v>
                </c:pt>
                <c:pt idx="57">
                  <c:v>374.8</c:v>
                </c:pt>
                <c:pt idx="58">
                  <c:v>352.3</c:v>
                </c:pt>
                <c:pt idx="59">
                  <c:v>352</c:v>
                </c:pt>
                <c:pt idx="60">
                  <c:v>380.5</c:v>
                </c:pt>
                <c:pt idx="61">
                  <c:v>436.5</c:v>
                </c:pt>
                <c:pt idx="62">
                  <c:v>394.5</c:v>
                </c:pt>
                <c:pt idx="63">
                  <c:v>386.9</c:v>
                </c:pt>
                <c:pt idx="64">
                  <c:v>392</c:v>
                </c:pt>
                <c:pt idx="65">
                  <c:v>420.5</c:v>
                </c:pt>
                <c:pt idx="66">
                  <c:v>496</c:v>
                </c:pt>
                <c:pt idx="67">
                  <c:v>507.7</c:v>
                </c:pt>
                <c:pt idx="68">
                  <c:v>461.1</c:v>
                </c:pt>
                <c:pt idx="69">
                  <c:v>394.4</c:v>
                </c:pt>
                <c:pt idx="70" formatCode="0.00">
                  <c:v>409.3</c:v>
                </c:pt>
                <c:pt idx="71" formatCode="0.00">
                  <c:v>392.5</c:v>
                </c:pt>
                <c:pt idx="72" formatCode="0.00">
                  <c:v>415.4</c:v>
                </c:pt>
                <c:pt idx="73" formatCode="0.00">
                  <c:v>472</c:v>
                </c:pt>
                <c:pt idx="74" formatCode="0.00">
                  <c:v>725.6</c:v>
                </c:pt>
              </c:numCache>
            </c:numRef>
          </c:val>
          <c:smooth val="0"/>
          <c:extLst>
            <c:ext xmlns:c16="http://schemas.microsoft.com/office/drawing/2014/chart" uri="{C3380CC4-5D6E-409C-BE32-E72D297353CC}">
              <c16:uniqueId val="{00000001-7DB9-4775-8FD6-E891BBE17515}"/>
            </c:ext>
          </c:extLst>
        </c:ser>
        <c:dLbls>
          <c:showLegendKey val="0"/>
          <c:showVal val="0"/>
          <c:showCatName val="0"/>
          <c:showSerName val="0"/>
          <c:showPercent val="0"/>
          <c:showBubbleSize val="0"/>
        </c:dLbls>
        <c:marker val="1"/>
        <c:smooth val="0"/>
        <c:axId val="48773376"/>
        <c:axId val="48979968"/>
      </c:lineChart>
      <c:lineChart>
        <c:grouping val="standard"/>
        <c:varyColors val="0"/>
        <c:ser>
          <c:idx val="2"/>
          <c:order val="2"/>
          <c:tx>
            <c:strRef>
              <c:f>'18.A'!$T$2</c:f>
              <c:strCache>
                <c:ptCount val="1"/>
                <c:pt idx="0">
                  <c:v> MOP </c:v>
                </c:pt>
              </c:strCache>
            </c:strRef>
          </c:tx>
          <c:spPr>
            <a:ln w="76200">
              <a:solidFill>
                <a:schemeClr val="accent3"/>
              </a:solidFill>
            </a:ln>
          </c:spPr>
          <c:marker>
            <c:symbol val="none"/>
          </c:marker>
          <c:cat>
            <c:numRef>
              <c:f>'18.A'!$Q$3:$Q$121</c:f>
              <c:numCache>
                <c:formatCode>[$-409]mmm\-yy;@</c:formatCode>
                <c:ptCount val="11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45598</c:v>
                </c:pt>
                <c:pt idx="59">
                  <c:v>45630</c:v>
                </c:pt>
                <c:pt idx="60">
                  <c:v>45662</c:v>
                </c:pt>
                <c:pt idx="61">
                  <c:v>45694</c:v>
                </c:pt>
                <c:pt idx="62">
                  <c:v>45726</c:v>
                </c:pt>
                <c:pt idx="63">
                  <c:v>45758</c:v>
                </c:pt>
                <c:pt idx="64">
                  <c:v>45790</c:v>
                </c:pt>
                <c:pt idx="65">
                  <c:v>45822</c:v>
                </c:pt>
                <c:pt idx="66">
                  <c:v>45854</c:v>
                </c:pt>
                <c:pt idx="67">
                  <c:v>45886</c:v>
                </c:pt>
                <c:pt idx="68">
                  <c:v>45918</c:v>
                </c:pt>
                <c:pt idx="69">
                  <c:v>45950</c:v>
                </c:pt>
                <c:pt idx="70">
                  <c:v>45982</c:v>
                </c:pt>
                <c:pt idx="71">
                  <c:v>46014</c:v>
                </c:pt>
                <c:pt idx="72">
                  <c:v>46046</c:v>
                </c:pt>
                <c:pt idx="73">
                  <c:v>46078</c:v>
                </c:pt>
                <c:pt idx="74">
                  <c:v>46110</c:v>
                </c:pt>
              </c:numCache>
            </c:numRef>
          </c:cat>
          <c:val>
            <c:numRef>
              <c:f>'18.A'!$T$3:$T$121</c:f>
              <c:numCache>
                <c:formatCode>General</c:formatCode>
                <c:ptCount val="119"/>
                <c:pt idx="0">
                  <c:v>268.7</c:v>
                </c:pt>
                <c:pt idx="1">
                  <c:v>243.4</c:v>
                </c:pt>
                <c:pt idx="2">
                  <c:v>235</c:v>
                </c:pt>
                <c:pt idx="3">
                  <c:v>220.4</c:v>
                </c:pt>
                <c:pt idx="4">
                  <c:v>222.2</c:v>
                </c:pt>
                <c:pt idx="5">
                  <c:v>226.3</c:v>
                </c:pt>
                <c:pt idx="6">
                  <c:v>237.5</c:v>
                </c:pt>
                <c:pt idx="7">
                  <c:v>240.4</c:v>
                </c:pt>
                <c:pt idx="8">
                  <c:v>247.8</c:v>
                </c:pt>
                <c:pt idx="9">
                  <c:v>255</c:v>
                </c:pt>
                <c:pt idx="10">
                  <c:v>250</c:v>
                </c:pt>
                <c:pt idx="11">
                  <c:v>246.3</c:v>
                </c:pt>
                <c:pt idx="12">
                  <c:v>255.5</c:v>
                </c:pt>
                <c:pt idx="13">
                  <c:v>290.60000000000002</c:v>
                </c:pt>
                <c:pt idx="14">
                  <c:v>320.89999999999998</c:v>
                </c:pt>
                <c:pt idx="15">
                  <c:v>345.5</c:v>
                </c:pt>
                <c:pt idx="16">
                  <c:v>378.1</c:v>
                </c:pt>
                <c:pt idx="17">
                  <c:v>462.5</c:v>
                </c:pt>
                <c:pt idx="18">
                  <c:v>633</c:v>
                </c:pt>
                <c:pt idx="19">
                  <c:v>695</c:v>
                </c:pt>
                <c:pt idx="20">
                  <c:v>736.3</c:v>
                </c:pt>
                <c:pt idx="21">
                  <c:v>782</c:v>
                </c:pt>
                <c:pt idx="22">
                  <c:v>806.9</c:v>
                </c:pt>
                <c:pt idx="23">
                  <c:v>807.5</c:v>
                </c:pt>
                <c:pt idx="24">
                  <c:v>785.6</c:v>
                </c:pt>
                <c:pt idx="25">
                  <c:v>791.9</c:v>
                </c:pt>
                <c:pt idx="26">
                  <c:v>977.5</c:v>
                </c:pt>
                <c:pt idx="27">
                  <c:v>1202</c:v>
                </c:pt>
                <c:pt idx="28">
                  <c:v>1170</c:v>
                </c:pt>
                <c:pt idx="29">
                  <c:v>1101.9000000000001</c:v>
                </c:pt>
                <c:pt idx="30">
                  <c:v>1013</c:v>
                </c:pt>
                <c:pt idx="31">
                  <c:v>888.8</c:v>
                </c:pt>
                <c:pt idx="32">
                  <c:v>731</c:v>
                </c:pt>
                <c:pt idx="33">
                  <c:v>622.5</c:v>
                </c:pt>
                <c:pt idx="34">
                  <c:v>563.1</c:v>
                </c:pt>
                <c:pt idx="35">
                  <c:v>513.79999999999995</c:v>
                </c:pt>
                <c:pt idx="36">
                  <c:v>508.8</c:v>
                </c:pt>
                <c:pt idx="37">
                  <c:v>496.9</c:v>
                </c:pt>
                <c:pt idx="38">
                  <c:v>453</c:v>
                </c:pt>
                <c:pt idx="39">
                  <c:v>407.5</c:v>
                </c:pt>
                <c:pt idx="40">
                  <c:v>372.5</c:v>
                </c:pt>
                <c:pt idx="41">
                  <c:v>328</c:v>
                </c:pt>
                <c:pt idx="42">
                  <c:v>341.3</c:v>
                </c:pt>
                <c:pt idx="43">
                  <c:v>353.1</c:v>
                </c:pt>
                <c:pt idx="44">
                  <c:v>352</c:v>
                </c:pt>
                <c:pt idx="45">
                  <c:v>341.9</c:v>
                </c:pt>
                <c:pt idx="46">
                  <c:v>331.9</c:v>
                </c:pt>
                <c:pt idx="47">
                  <c:v>311.89999999999998</c:v>
                </c:pt>
                <c:pt idx="48">
                  <c:v>296.3</c:v>
                </c:pt>
                <c:pt idx="49">
                  <c:v>289.39999999999998</c:v>
                </c:pt>
                <c:pt idx="50">
                  <c:v>300.5</c:v>
                </c:pt>
                <c:pt idx="51">
                  <c:v>305</c:v>
                </c:pt>
                <c:pt idx="52">
                  <c:v>307</c:v>
                </c:pt>
                <c:pt idx="53">
                  <c:v>310</c:v>
                </c:pt>
                <c:pt idx="54">
                  <c:v>300.60000000000002</c:v>
                </c:pt>
                <c:pt idx="55">
                  <c:v>294</c:v>
                </c:pt>
                <c:pt idx="56">
                  <c:v>286.89999999999998</c:v>
                </c:pt>
                <c:pt idx="57">
                  <c:v>278.10000000000002</c:v>
                </c:pt>
                <c:pt idx="58">
                  <c:v>281</c:v>
                </c:pt>
                <c:pt idx="59">
                  <c:v>292.5</c:v>
                </c:pt>
                <c:pt idx="60">
                  <c:v>302</c:v>
                </c:pt>
                <c:pt idx="61">
                  <c:v>318.8</c:v>
                </c:pt>
                <c:pt idx="62">
                  <c:v>336.3</c:v>
                </c:pt>
                <c:pt idx="63">
                  <c:v>351.9</c:v>
                </c:pt>
                <c:pt idx="64">
                  <c:v>362.5</c:v>
                </c:pt>
                <c:pt idx="65">
                  <c:v>363.1</c:v>
                </c:pt>
                <c:pt idx="66">
                  <c:v>362.5</c:v>
                </c:pt>
                <c:pt idx="67">
                  <c:v>356.5</c:v>
                </c:pt>
                <c:pt idx="68">
                  <c:v>352.5</c:v>
                </c:pt>
                <c:pt idx="69">
                  <c:v>352</c:v>
                </c:pt>
                <c:pt idx="70" formatCode="0.00">
                  <c:v>353.8</c:v>
                </c:pt>
                <c:pt idx="71" formatCode="0.00">
                  <c:v>358.3</c:v>
                </c:pt>
                <c:pt idx="72" formatCode="0.00">
                  <c:v>366</c:v>
                </c:pt>
                <c:pt idx="73" formatCode="0.00">
                  <c:v>372.5</c:v>
                </c:pt>
                <c:pt idx="74" formatCode="0.00">
                  <c:v>380.6</c:v>
                </c:pt>
              </c:numCache>
            </c:numRef>
          </c:val>
          <c:smooth val="0"/>
          <c:extLst>
            <c:ext xmlns:c16="http://schemas.microsoft.com/office/drawing/2014/chart" uri="{C3380CC4-5D6E-409C-BE32-E72D297353CC}">
              <c16:uniqueId val="{00000002-7DB9-4775-8FD6-E891BBE17515}"/>
            </c:ext>
          </c:extLst>
        </c:ser>
        <c:dLbls>
          <c:showLegendKey val="0"/>
          <c:showVal val="0"/>
          <c:showCatName val="0"/>
          <c:showSerName val="0"/>
          <c:showPercent val="0"/>
          <c:showBubbleSize val="0"/>
        </c:dLbls>
        <c:marker val="1"/>
        <c:smooth val="0"/>
        <c:axId val="48983424"/>
        <c:axId val="48981504"/>
      </c:lineChart>
      <c:dateAx>
        <c:axId val="48773376"/>
        <c:scaling>
          <c:orientation val="minMax"/>
          <c:max val="46113"/>
          <c:min val="43831"/>
        </c:scaling>
        <c:delete val="0"/>
        <c:axPos val="b"/>
        <c:numFmt formatCode="[$-409]mmm\-yy;@" sourceLinked="1"/>
        <c:majorTickMark val="none"/>
        <c:minorTickMark val="none"/>
        <c:tickLblPos val="low"/>
        <c:spPr>
          <a:noFill/>
          <a:ln w="9525" cap="flat" cmpd="sng" algn="ctr">
            <a:solidFill>
              <a:srgbClr val="000000">
                <a:lumMod val="100000"/>
              </a:srgbClr>
            </a:solidFill>
            <a:prstDash val="solid"/>
            <a:round/>
            <a:headEnd type="none" w="med" len="med"/>
            <a:tailEnd type="none" w="med" len="med"/>
          </a:ln>
          <a:effectLst/>
        </c:spPr>
        <c:txPr>
          <a:bodyPr rot="-5400000" vert="horz"/>
          <a:lstStyle/>
          <a:p>
            <a:pPr>
              <a:defRPr/>
            </a:pPr>
            <a:endParaRPr lang="en-US"/>
          </a:p>
        </c:txPr>
        <c:crossAx val="48979968"/>
        <c:crosses val="autoZero"/>
        <c:auto val="1"/>
        <c:lblOffset val="100"/>
        <c:baseTimeUnit val="months"/>
        <c:majorUnit val="205"/>
        <c:majorTimeUnit val="days"/>
      </c:dateAx>
      <c:valAx>
        <c:axId val="48979968"/>
        <c:scaling>
          <c:orientation val="minMax"/>
          <c:min val="0"/>
        </c:scaling>
        <c:delete val="0"/>
        <c:axPos val="l"/>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olidFill>
                <a:prstDash val="solid"/>
                <a:round/>
              </a14:hiddenLine>
            </a:ext>
          </a:extLst>
        </c:spPr>
        <c:txPr>
          <a:bodyPr rot="-60000000" vert="horz"/>
          <a:lstStyle/>
          <a:p>
            <a:pPr>
              <a:defRPr/>
            </a:pPr>
            <a:endParaRPr lang="en-US"/>
          </a:p>
        </c:txPr>
        <c:crossAx val="48773376"/>
        <c:crosses val="autoZero"/>
        <c:crossBetween val="midCat"/>
      </c:valAx>
      <c:valAx>
        <c:axId val="48981504"/>
        <c:scaling>
          <c:orientation val="minMax"/>
          <c:max val="170"/>
          <c:min val="30"/>
        </c:scaling>
        <c:delete val="1"/>
        <c:axPos val="r"/>
        <c:numFmt formatCode="0" sourceLinked="0"/>
        <c:majorTickMark val="none"/>
        <c:minorTickMark val="none"/>
        <c:tickLblPos val="none"/>
        <c:crossAx val="48983424"/>
        <c:crosses val="max"/>
        <c:crossBetween val="between"/>
      </c:valAx>
      <c:dateAx>
        <c:axId val="48983424"/>
        <c:scaling>
          <c:orientation val="minMax"/>
        </c:scaling>
        <c:delete val="1"/>
        <c:axPos val="b"/>
        <c:numFmt formatCode="[$-409]mmm\-yy;@" sourceLinked="1"/>
        <c:majorTickMark val="out"/>
        <c:minorTickMark val="none"/>
        <c:tickLblPos val="none"/>
        <c:crossAx val="48981504"/>
        <c:crosses val="autoZero"/>
        <c:auto val="1"/>
        <c:lblOffset val="100"/>
        <c:baseTimeUnit val="days"/>
      </c:dateAx>
      <c:spPr>
        <a:noFill/>
        <a:ln>
          <a:noFill/>
        </a:ln>
        <a:effectLst/>
      </c:spPr>
    </c:plotArea>
    <c:legend>
      <c:legendPos val="t"/>
      <c:layout>
        <c:manualLayout>
          <c:xMode val="edge"/>
          <c:yMode val="edge"/>
          <c:x val="0.35227635608048996"/>
          <c:y val="1.1111111111111125E-2"/>
          <c:w val="0.64347564887722364"/>
          <c:h val="0.12738150513617663"/>
        </c:manualLayout>
      </c:layout>
      <c:overlay val="1"/>
    </c:legend>
    <c:plotVisOnly val="1"/>
    <c:dispBlanksAs val="gap"/>
    <c:showDLblsOverMax val="0"/>
  </c:chart>
  <c:spPr>
    <a:solidFill>
      <a:srgbClr val="FFFFFF">
        <a:lumMod val="100000"/>
      </a:srgbClr>
    </a:solidFill>
    <a:ln w="9525" cap="flat" cmpd="sng" algn="ctr">
      <a:noFill/>
      <a:round/>
    </a:ln>
    <a:effectLst/>
  </c:spPr>
  <c:txPr>
    <a:bodyPr/>
    <a:lstStyle/>
    <a:p>
      <a:pPr>
        <a:defRPr sz="3200" b="0">
          <a:solidFill>
            <a:srgbClr val="000000">
              <a:lumMod val="100000"/>
            </a:srgbClr>
          </a:solidFill>
          <a:latin typeface="Arial" panose="020B0604020202020204" pitchFamily="34" charset="0"/>
          <a:cs typeface="Arial" panose="020B0604020202020204" pitchFamily="34" charset="0"/>
        </a:defRPr>
      </a:pPr>
      <a:endParaRPr lang="en-US"/>
    </a:p>
  </c:txPr>
  <c:printSettings>
    <c:headerFooter/>
    <c:pageMargins b="0.7500000000000091" l="0.70000000000000062" r="0.70000000000000062" t="0.7500000000000091"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53018372703411"/>
          <c:y val="0.1771819772528434"/>
          <c:w val="0.87331466411886793"/>
          <c:h val="0.59320049577136191"/>
        </c:manualLayout>
      </c:layout>
      <c:lineChart>
        <c:grouping val="standard"/>
        <c:varyColors val="0"/>
        <c:ser>
          <c:idx val="1"/>
          <c:order val="0"/>
          <c:tx>
            <c:strRef>
              <c:f>'18.B'!$S$2</c:f>
              <c:strCache>
                <c:ptCount val="1"/>
                <c:pt idx="0">
                  <c:v>Ammonia (Tampa), cfr</c:v>
                </c:pt>
              </c:strCache>
            </c:strRef>
          </c:tx>
          <c:spPr>
            <a:ln w="69850">
              <a:solidFill>
                <a:srgbClr val="002345"/>
              </a:solidFill>
            </a:ln>
          </c:spPr>
          <c:marker>
            <c:symbol val="none"/>
          </c:marker>
          <c:cat>
            <c:numRef>
              <c:f>'18.B'!$R$3:$R$76</c:f>
              <c:numCache>
                <c:formatCode>[$-409]mmm\-yy;@</c:formatCode>
                <c:ptCount val="74"/>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numCache>
            </c:numRef>
          </c:cat>
          <c:val>
            <c:numRef>
              <c:f>'18.B'!$S$3:$S$76</c:f>
              <c:numCache>
                <c:formatCode>General</c:formatCode>
                <c:ptCount val="74"/>
                <c:pt idx="0">
                  <c:v>250</c:v>
                </c:pt>
                <c:pt idx="1">
                  <c:v>250</c:v>
                </c:pt>
                <c:pt idx="2">
                  <c:v>250</c:v>
                </c:pt>
                <c:pt idx="3">
                  <c:v>246.6</c:v>
                </c:pt>
                <c:pt idx="4">
                  <c:v>234.2</c:v>
                </c:pt>
                <c:pt idx="5">
                  <c:v>216.2</c:v>
                </c:pt>
                <c:pt idx="6">
                  <c:v>205</c:v>
                </c:pt>
                <c:pt idx="7">
                  <c:v>205.7</c:v>
                </c:pt>
                <c:pt idx="8">
                  <c:v>212</c:v>
                </c:pt>
                <c:pt idx="9">
                  <c:v>229.2</c:v>
                </c:pt>
                <c:pt idx="10">
                  <c:v>235</c:v>
                </c:pt>
                <c:pt idx="11">
                  <c:v>252.4</c:v>
                </c:pt>
                <c:pt idx="12">
                  <c:v>272.89999999999998</c:v>
                </c:pt>
                <c:pt idx="13">
                  <c:v>330</c:v>
                </c:pt>
                <c:pt idx="14">
                  <c:v>442.4</c:v>
                </c:pt>
                <c:pt idx="15">
                  <c:v>545</c:v>
                </c:pt>
                <c:pt idx="16">
                  <c:v>544</c:v>
                </c:pt>
                <c:pt idx="17">
                  <c:v>544.1</c:v>
                </c:pt>
                <c:pt idx="18">
                  <c:v>586.79999999999995</c:v>
                </c:pt>
                <c:pt idx="19">
                  <c:v>623.6</c:v>
                </c:pt>
                <c:pt idx="20">
                  <c:v>615</c:v>
                </c:pt>
                <c:pt idx="21">
                  <c:v>672.6</c:v>
                </c:pt>
                <c:pt idx="22">
                  <c:v>847.5</c:v>
                </c:pt>
                <c:pt idx="23">
                  <c:v>990</c:v>
                </c:pt>
                <c:pt idx="24">
                  <c:v>1093.0999999999999</c:v>
                </c:pt>
                <c:pt idx="25">
                  <c:v>1135</c:v>
                </c:pt>
                <c:pt idx="26">
                  <c:v>1241.5</c:v>
                </c:pt>
                <c:pt idx="27">
                  <c:v>1567.9</c:v>
                </c:pt>
                <c:pt idx="28">
                  <c:v>1367</c:v>
                </c:pt>
                <c:pt idx="29">
                  <c:v>1000</c:v>
                </c:pt>
                <c:pt idx="30">
                  <c:v>966.7</c:v>
                </c:pt>
                <c:pt idx="31">
                  <c:v>1108.7</c:v>
                </c:pt>
                <c:pt idx="32">
                  <c:v>1151.0999999999999</c:v>
                </c:pt>
                <c:pt idx="33">
                  <c:v>1172.5999999999999</c:v>
                </c:pt>
                <c:pt idx="34">
                  <c:v>1150</c:v>
                </c:pt>
                <c:pt idx="35">
                  <c:v>1035.5</c:v>
                </c:pt>
                <c:pt idx="36">
                  <c:v>959.8</c:v>
                </c:pt>
                <c:pt idx="37">
                  <c:v>760</c:v>
                </c:pt>
                <c:pt idx="38">
                  <c:v>583.29999999999995</c:v>
                </c:pt>
                <c:pt idx="39">
                  <c:v>432.3</c:v>
                </c:pt>
                <c:pt idx="40">
                  <c:v>373</c:v>
                </c:pt>
                <c:pt idx="41">
                  <c:v>337.5</c:v>
                </c:pt>
                <c:pt idx="42">
                  <c:v>286</c:v>
                </c:pt>
                <c:pt idx="43">
                  <c:v>295</c:v>
                </c:pt>
                <c:pt idx="44">
                  <c:v>398.8</c:v>
                </c:pt>
                <c:pt idx="45">
                  <c:v>581.79999999999995</c:v>
                </c:pt>
                <c:pt idx="46">
                  <c:v>625</c:v>
                </c:pt>
                <c:pt idx="47">
                  <c:v>596.4</c:v>
                </c:pt>
                <c:pt idx="48">
                  <c:v>511.1</c:v>
                </c:pt>
                <c:pt idx="49">
                  <c:v>445</c:v>
                </c:pt>
                <c:pt idx="50">
                  <c:v>446.2</c:v>
                </c:pt>
                <c:pt idx="51">
                  <c:v>475</c:v>
                </c:pt>
                <c:pt idx="52">
                  <c:v>450</c:v>
                </c:pt>
                <c:pt idx="53">
                  <c:v>400</c:v>
                </c:pt>
                <c:pt idx="54">
                  <c:v>422.8</c:v>
                </c:pt>
                <c:pt idx="55">
                  <c:v>477.5</c:v>
                </c:pt>
                <c:pt idx="56">
                  <c:v>532.9</c:v>
                </c:pt>
                <c:pt idx="57">
                  <c:v>560</c:v>
                </c:pt>
                <c:pt idx="58">
                  <c:v>560.4</c:v>
                </c:pt>
                <c:pt idx="59">
                  <c:v>570</c:v>
                </c:pt>
                <c:pt idx="60">
                  <c:v>535</c:v>
                </c:pt>
                <c:pt idx="61">
                  <c:v>498</c:v>
                </c:pt>
                <c:pt idx="62">
                  <c:v>457.6</c:v>
                </c:pt>
                <c:pt idx="63">
                  <c:v>435</c:v>
                </c:pt>
                <c:pt idx="64">
                  <c:v>415.9</c:v>
                </c:pt>
                <c:pt idx="65">
                  <c:v>398.8</c:v>
                </c:pt>
                <c:pt idx="66">
                  <c:v>432</c:v>
                </c:pt>
                <c:pt idx="67">
                  <c:v>489.5</c:v>
                </c:pt>
                <c:pt idx="68">
                  <c:v>540</c:v>
                </c:pt>
                <c:pt idx="69">
                  <c:v>588.29999999999995</c:v>
                </c:pt>
                <c:pt idx="70">
                  <c:v>650</c:v>
                </c:pt>
                <c:pt idx="71">
                  <c:v>650</c:v>
                </c:pt>
                <c:pt idx="72">
                  <c:v>589.79999999999995</c:v>
                </c:pt>
                <c:pt idx="73">
                  <c:v>624.5</c:v>
                </c:pt>
              </c:numCache>
            </c:numRef>
          </c:val>
          <c:smooth val="0"/>
          <c:extLst>
            <c:ext xmlns:c16="http://schemas.microsoft.com/office/drawing/2014/chart" uri="{C3380CC4-5D6E-409C-BE32-E72D297353CC}">
              <c16:uniqueId val="{00000000-C5B6-4B5C-A4DC-1FBA7C8068BD}"/>
            </c:ext>
          </c:extLst>
        </c:ser>
        <c:ser>
          <c:idx val="0"/>
          <c:order val="1"/>
          <c:tx>
            <c:strRef>
              <c:f>'18.B'!$T$2</c:f>
              <c:strCache>
                <c:ptCount val="1"/>
                <c:pt idx="0">
                  <c:v>Liquid sulfur (Tampa), fob</c:v>
                </c:pt>
              </c:strCache>
            </c:strRef>
          </c:tx>
          <c:spPr>
            <a:ln w="69850">
              <a:solidFill>
                <a:srgbClr val="EB1C2D"/>
              </a:solidFill>
            </a:ln>
          </c:spPr>
          <c:marker>
            <c:symbol val="none"/>
          </c:marker>
          <c:cat>
            <c:numRef>
              <c:f>'18.B'!$R$3:$R$76</c:f>
              <c:numCache>
                <c:formatCode>[$-409]mmm\-yy;@</c:formatCode>
                <c:ptCount val="74"/>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numCache>
            </c:numRef>
          </c:cat>
          <c:val>
            <c:numRef>
              <c:f>'18.B'!$T$3:$T$76</c:f>
              <c:numCache>
                <c:formatCode>General</c:formatCode>
                <c:ptCount val="74"/>
                <c:pt idx="0">
                  <c:v>39</c:v>
                </c:pt>
                <c:pt idx="1">
                  <c:v>36</c:v>
                </c:pt>
                <c:pt idx="2">
                  <c:v>36</c:v>
                </c:pt>
                <c:pt idx="3">
                  <c:v>44.2</c:v>
                </c:pt>
                <c:pt idx="4">
                  <c:v>54</c:v>
                </c:pt>
                <c:pt idx="5">
                  <c:v>54</c:v>
                </c:pt>
                <c:pt idx="6">
                  <c:v>56.4</c:v>
                </c:pt>
                <c:pt idx="7">
                  <c:v>57.5</c:v>
                </c:pt>
                <c:pt idx="8">
                  <c:v>57.5</c:v>
                </c:pt>
                <c:pt idx="9">
                  <c:v>65.900000000000006</c:v>
                </c:pt>
                <c:pt idx="10">
                  <c:v>69</c:v>
                </c:pt>
                <c:pt idx="11">
                  <c:v>69</c:v>
                </c:pt>
                <c:pt idx="12">
                  <c:v>89.6</c:v>
                </c:pt>
                <c:pt idx="13">
                  <c:v>96</c:v>
                </c:pt>
                <c:pt idx="14">
                  <c:v>96</c:v>
                </c:pt>
                <c:pt idx="15">
                  <c:v>165.8</c:v>
                </c:pt>
                <c:pt idx="16">
                  <c:v>192</c:v>
                </c:pt>
                <c:pt idx="17">
                  <c:v>192</c:v>
                </c:pt>
                <c:pt idx="18">
                  <c:v>193.5</c:v>
                </c:pt>
                <c:pt idx="19">
                  <c:v>195</c:v>
                </c:pt>
                <c:pt idx="20">
                  <c:v>192.3</c:v>
                </c:pt>
                <c:pt idx="21">
                  <c:v>183</c:v>
                </c:pt>
                <c:pt idx="22">
                  <c:v>183</c:v>
                </c:pt>
                <c:pt idx="23">
                  <c:v>183</c:v>
                </c:pt>
                <c:pt idx="24">
                  <c:v>263.10000000000002</c:v>
                </c:pt>
                <c:pt idx="25">
                  <c:v>282</c:v>
                </c:pt>
                <c:pt idx="26">
                  <c:v>282</c:v>
                </c:pt>
                <c:pt idx="27">
                  <c:v>481</c:v>
                </c:pt>
                <c:pt idx="28">
                  <c:v>481</c:v>
                </c:pt>
                <c:pt idx="29">
                  <c:v>481</c:v>
                </c:pt>
                <c:pt idx="30">
                  <c:v>413.4</c:v>
                </c:pt>
                <c:pt idx="31">
                  <c:v>352</c:v>
                </c:pt>
                <c:pt idx="32">
                  <c:v>352</c:v>
                </c:pt>
                <c:pt idx="33">
                  <c:v>202.3</c:v>
                </c:pt>
                <c:pt idx="34">
                  <c:v>90</c:v>
                </c:pt>
                <c:pt idx="35">
                  <c:v>90</c:v>
                </c:pt>
                <c:pt idx="36">
                  <c:v>104.5</c:v>
                </c:pt>
                <c:pt idx="37">
                  <c:v>130</c:v>
                </c:pt>
                <c:pt idx="38">
                  <c:v>130</c:v>
                </c:pt>
                <c:pt idx="39">
                  <c:v>121.9</c:v>
                </c:pt>
                <c:pt idx="40">
                  <c:v>103</c:v>
                </c:pt>
                <c:pt idx="41">
                  <c:v>103</c:v>
                </c:pt>
                <c:pt idx="42">
                  <c:v>75.599999999999994</c:v>
                </c:pt>
                <c:pt idx="43">
                  <c:v>55</c:v>
                </c:pt>
                <c:pt idx="44">
                  <c:v>55</c:v>
                </c:pt>
                <c:pt idx="45">
                  <c:v>82.8</c:v>
                </c:pt>
                <c:pt idx="46">
                  <c:v>102</c:v>
                </c:pt>
                <c:pt idx="47">
                  <c:v>102</c:v>
                </c:pt>
                <c:pt idx="48">
                  <c:v>81.900000000000006</c:v>
                </c:pt>
                <c:pt idx="49">
                  <c:v>69</c:v>
                </c:pt>
                <c:pt idx="50">
                  <c:v>75.3</c:v>
                </c:pt>
                <c:pt idx="51">
                  <c:v>81</c:v>
                </c:pt>
                <c:pt idx="52">
                  <c:v>81</c:v>
                </c:pt>
                <c:pt idx="53">
                  <c:v>81</c:v>
                </c:pt>
                <c:pt idx="54">
                  <c:v>76.900000000000006</c:v>
                </c:pt>
                <c:pt idx="55">
                  <c:v>76</c:v>
                </c:pt>
                <c:pt idx="56">
                  <c:v>76</c:v>
                </c:pt>
                <c:pt idx="57">
                  <c:v>110.8</c:v>
                </c:pt>
                <c:pt idx="58">
                  <c:v>116</c:v>
                </c:pt>
                <c:pt idx="59">
                  <c:v>116</c:v>
                </c:pt>
                <c:pt idx="60">
                  <c:v>139.4</c:v>
                </c:pt>
                <c:pt idx="61">
                  <c:v>165</c:v>
                </c:pt>
                <c:pt idx="62">
                  <c:v>165</c:v>
                </c:pt>
                <c:pt idx="63">
                  <c:v>255.7</c:v>
                </c:pt>
                <c:pt idx="64">
                  <c:v>270</c:v>
                </c:pt>
                <c:pt idx="65">
                  <c:v>270</c:v>
                </c:pt>
                <c:pt idx="66">
                  <c:v>254.3</c:v>
                </c:pt>
                <c:pt idx="67">
                  <c:v>252</c:v>
                </c:pt>
                <c:pt idx="68">
                  <c:v>252</c:v>
                </c:pt>
                <c:pt idx="69">
                  <c:v>305</c:v>
                </c:pt>
                <c:pt idx="70">
                  <c:v>310</c:v>
                </c:pt>
                <c:pt idx="71">
                  <c:v>310</c:v>
                </c:pt>
                <c:pt idx="72">
                  <c:v>318.39999999999998</c:v>
                </c:pt>
                <c:pt idx="73">
                  <c:v>495.7</c:v>
                </c:pt>
              </c:numCache>
            </c:numRef>
          </c:val>
          <c:smooth val="0"/>
          <c:extLst>
            <c:ext xmlns:c16="http://schemas.microsoft.com/office/drawing/2014/chart" uri="{C3380CC4-5D6E-409C-BE32-E72D297353CC}">
              <c16:uniqueId val="{00000001-C5B6-4B5C-A4DC-1FBA7C8068BD}"/>
            </c:ext>
          </c:extLst>
        </c:ser>
        <c:dLbls>
          <c:showLegendKey val="0"/>
          <c:showVal val="0"/>
          <c:showCatName val="0"/>
          <c:showSerName val="0"/>
          <c:showPercent val="0"/>
          <c:showBubbleSize val="0"/>
        </c:dLbls>
        <c:marker val="1"/>
        <c:smooth val="0"/>
        <c:axId val="245724672"/>
        <c:axId val="245726208"/>
      </c:lineChart>
      <c:lineChart>
        <c:grouping val="standard"/>
        <c:varyColors val="0"/>
        <c:ser>
          <c:idx val="2"/>
          <c:order val="2"/>
          <c:tx>
            <c:strRef>
              <c:f>'18.B'!$U$2</c:f>
              <c:strCache>
                <c:ptCount val="1"/>
                <c:pt idx="0">
                  <c:v>Natural gas (Europe), TTF (RHS)</c:v>
                </c:pt>
              </c:strCache>
            </c:strRef>
          </c:tx>
          <c:spPr>
            <a:ln w="69850">
              <a:solidFill>
                <a:schemeClr val="accent3"/>
              </a:solidFill>
            </a:ln>
          </c:spPr>
          <c:marker>
            <c:symbol val="none"/>
          </c:marker>
          <c:cat>
            <c:numRef>
              <c:f>'18.B'!$R$3:$R$76</c:f>
              <c:numCache>
                <c:formatCode>[$-409]mmm\-yy;@</c:formatCode>
                <c:ptCount val="74"/>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numCache>
            </c:numRef>
          </c:cat>
          <c:val>
            <c:numRef>
              <c:f>'18.B'!$U$3:$U$76</c:f>
              <c:numCache>
                <c:formatCode>General</c:formatCode>
                <c:ptCount val="74"/>
                <c:pt idx="0">
                  <c:v>3.6</c:v>
                </c:pt>
                <c:pt idx="1">
                  <c:v>2.9</c:v>
                </c:pt>
                <c:pt idx="2">
                  <c:v>2.7</c:v>
                </c:pt>
                <c:pt idx="3">
                  <c:v>2.1</c:v>
                </c:pt>
                <c:pt idx="4">
                  <c:v>1.6</c:v>
                </c:pt>
                <c:pt idx="5">
                  <c:v>1.8</c:v>
                </c:pt>
                <c:pt idx="6">
                  <c:v>1.8</c:v>
                </c:pt>
                <c:pt idx="7">
                  <c:v>2.9</c:v>
                </c:pt>
                <c:pt idx="8">
                  <c:v>4</c:v>
                </c:pt>
                <c:pt idx="9">
                  <c:v>4.9000000000000004</c:v>
                </c:pt>
                <c:pt idx="10">
                  <c:v>4.8</c:v>
                </c:pt>
                <c:pt idx="11">
                  <c:v>5.9</c:v>
                </c:pt>
                <c:pt idx="12">
                  <c:v>7.3</c:v>
                </c:pt>
                <c:pt idx="13">
                  <c:v>6.2</c:v>
                </c:pt>
                <c:pt idx="14">
                  <c:v>6.1</c:v>
                </c:pt>
                <c:pt idx="15">
                  <c:v>7.1</c:v>
                </c:pt>
                <c:pt idx="16">
                  <c:v>8.9</c:v>
                </c:pt>
                <c:pt idx="17">
                  <c:v>10.3</c:v>
                </c:pt>
                <c:pt idx="18">
                  <c:v>12.5</c:v>
                </c:pt>
                <c:pt idx="19">
                  <c:v>15.4</c:v>
                </c:pt>
                <c:pt idx="20">
                  <c:v>22.8</c:v>
                </c:pt>
                <c:pt idx="21">
                  <c:v>31.1</c:v>
                </c:pt>
                <c:pt idx="22">
                  <c:v>27.6</c:v>
                </c:pt>
                <c:pt idx="23">
                  <c:v>38</c:v>
                </c:pt>
                <c:pt idx="24">
                  <c:v>28.3</c:v>
                </c:pt>
                <c:pt idx="25">
                  <c:v>27.2</c:v>
                </c:pt>
                <c:pt idx="26">
                  <c:v>42.4</c:v>
                </c:pt>
                <c:pt idx="27">
                  <c:v>32.200000000000003</c:v>
                </c:pt>
                <c:pt idx="28">
                  <c:v>29.2</c:v>
                </c:pt>
                <c:pt idx="29">
                  <c:v>33.6</c:v>
                </c:pt>
                <c:pt idx="30">
                  <c:v>51.3</c:v>
                </c:pt>
                <c:pt idx="31">
                  <c:v>70</c:v>
                </c:pt>
                <c:pt idx="32">
                  <c:v>59.1</c:v>
                </c:pt>
                <c:pt idx="33">
                  <c:v>39</c:v>
                </c:pt>
                <c:pt idx="34">
                  <c:v>35.700000000000003</c:v>
                </c:pt>
                <c:pt idx="35">
                  <c:v>36</c:v>
                </c:pt>
                <c:pt idx="36">
                  <c:v>20.2</c:v>
                </c:pt>
                <c:pt idx="37">
                  <c:v>16.5</c:v>
                </c:pt>
                <c:pt idx="38">
                  <c:v>13.8</c:v>
                </c:pt>
                <c:pt idx="39">
                  <c:v>13.5</c:v>
                </c:pt>
                <c:pt idx="40">
                  <c:v>10.1</c:v>
                </c:pt>
                <c:pt idx="41">
                  <c:v>10.4</c:v>
                </c:pt>
                <c:pt idx="42">
                  <c:v>9.5</c:v>
                </c:pt>
                <c:pt idx="43">
                  <c:v>11.2</c:v>
                </c:pt>
                <c:pt idx="44">
                  <c:v>11.5</c:v>
                </c:pt>
                <c:pt idx="45">
                  <c:v>14.6</c:v>
                </c:pt>
                <c:pt idx="46">
                  <c:v>14.5</c:v>
                </c:pt>
                <c:pt idx="47">
                  <c:v>11.5</c:v>
                </c:pt>
                <c:pt idx="48">
                  <c:v>9.6</c:v>
                </c:pt>
                <c:pt idx="49">
                  <c:v>8.1</c:v>
                </c:pt>
                <c:pt idx="50">
                  <c:v>8.6</c:v>
                </c:pt>
                <c:pt idx="51">
                  <c:v>9.1</c:v>
                </c:pt>
                <c:pt idx="52">
                  <c:v>10.1</c:v>
                </c:pt>
                <c:pt idx="53">
                  <c:v>10.9</c:v>
                </c:pt>
                <c:pt idx="54">
                  <c:v>10.3</c:v>
                </c:pt>
                <c:pt idx="55">
                  <c:v>12.4</c:v>
                </c:pt>
                <c:pt idx="56">
                  <c:v>11.8</c:v>
                </c:pt>
                <c:pt idx="57">
                  <c:v>12.9</c:v>
                </c:pt>
                <c:pt idx="58">
                  <c:v>13.9</c:v>
                </c:pt>
                <c:pt idx="59">
                  <c:v>13.9</c:v>
                </c:pt>
                <c:pt idx="60">
                  <c:v>14.7</c:v>
                </c:pt>
                <c:pt idx="61">
                  <c:v>15.3</c:v>
                </c:pt>
                <c:pt idx="62">
                  <c:v>13.2</c:v>
                </c:pt>
                <c:pt idx="63">
                  <c:v>11.6</c:v>
                </c:pt>
                <c:pt idx="64">
                  <c:v>11.7</c:v>
                </c:pt>
                <c:pt idx="65">
                  <c:v>12.4</c:v>
                </c:pt>
                <c:pt idx="66">
                  <c:v>11.6</c:v>
                </c:pt>
                <c:pt idx="67">
                  <c:v>11.1</c:v>
                </c:pt>
                <c:pt idx="68">
                  <c:v>11.1</c:v>
                </c:pt>
                <c:pt idx="69">
                  <c:v>10.9</c:v>
                </c:pt>
                <c:pt idx="70">
                  <c:v>10.4</c:v>
                </c:pt>
                <c:pt idx="71">
                  <c:v>9.5</c:v>
                </c:pt>
                <c:pt idx="72">
                  <c:v>11.8</c:v>
                </c:pt>
                <c:pt idx="73">
                  <c:v>11.2</c:v>
                </c:pt>
              </c:numCache>
            </c:numRef>
          </c:val>
          <c:smooth val="0"/>
          <c:extLst>
            <c:ext xmlns:c16="http://schemas.microsoft.com/office/drawing/2014/chart" uri="{C3380CC4-5D6E-409C-BE32-E72D297353CC}">
              <c16:uniqueId val="{00000002-C5B6-4B5C-A4DC-1FBA7C8068BD}"/>
            </c:ext>
          </c:extLst>
        </c:ser>
        <c:dLbls>
          <c:showLegendKey val="0"/>
          <c:showVal val="0"/>
          <c:showCatName val="0"/>
          <c:showSerName val="0"/>
          <c:showPercent val="0"/>
          <c:showBubbleSize val="0"/>
        </c:dLbls>
        <c:marker val="1"/>
        <c:smooth val="0"/>
        <c:axId val="245759360"/>
        <c:axId val="245757440"/>
      </c:lineChart>
      <c:dateAx>
        <c:axId val="245724672"/>
        <c:scaling>
          <c:orientation val="minMax"/>
          <c:max val="46113"/>
          <c:min val="43831"/>
        </c:scaling>
        <c:delete val="0"/>
        <c:axPos val="b"/>
        <c:numFmt formatCode="[$-409]mmm\-yy;@" sourceLinked="1"/>
        <c:majorTickMark val="none"/>
        <c:minorTickMark val="none"/>
        <c:tickLblPos val="low"/>
        <c:spPr>
          <a:noFill/>
          <a:ln w="9525" cap="flat" cmpd="sng" algn="ctr">
            <a:solidFill>
              <a:srgbClr val="000000">
                <a:lumMod val="100000"/>
              </a:srgbClr>
            </a:solidFill>
            <a:prstDash val="solid"/>
            <a:round/>
            <a:headEnd type="none" w="med" len="med"/>
            <a:tailEnd type="none" w="med" len="med"/>
          </a:ln>
          <a:effectLst/>
        </c:spPr>
        <c:txPr>
          <a:bodyPr rot="-5400000" vert="horz"/>
          <a:lstStyle/>
          <a:p>
            <a:pPr>
              <a:defRPr sz="3200">
                <a:latin typeface="Arial" panose="020B0604020202020204" pitchFamily="34" charset="0"/>
                <a:cs typeface="Arial" panose="020B0604020202020204" pitchFamily="34" charset="0"/>
              </a:defRPr>
            </a:pPr>
            <a:endParaRPr lang="en-US"/>
          </a:p>
        </c:txPr>
        <c:crossAx val="245726208"/>
        <c:crosses val="autoZero"/>
        <c:auto val="1"/>
        <c:lblOffset val="100"/>
        <c:baseTimeUnit val="months"/>
        <c:majorUnit val="205"/>
        <c:majorTimeUnit val="days"/>
      </c:dateAx>
      <c:valAx>
        <c:axId val="245726208"/>
        <c:scaling>
          <c:orientation val="minMax"/>
          <c:max val="2000"/>
          <c:min val="0"/>
        </c:scaling>
        <c:delete val="0"/>
        <c:axPos val="l"/>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olidFill>
                <a:prstDash val="solid"/>
                <a:round/>
              </a14:hiddenLine>
            </a:ext>
          </a:extLst>
        </c:spPr>
        <c:txPr>
          <a:bodyPr rot="-60000000" vert="horz"/>
          <a:lstStyle/>
          <a:p>
            <a:pPr>
              <a:defRPr sz="3200">
                <a:latin typeface="Arial" panose="020B0604020202020204" pitchFamily="34" charset="0"/>
                <a:cs typeface="Arial" panose="020B0604020202020204" pitchFamily="34" charset="0"/>
              </a:defRPr>
            </a:pPr>
            <a:endParaRPr lang="en-US"/>
          </a:p>
        </c:txPr>
        <c:crossAx val="245724672"/>
        <c:crosses val="autoZero"/>
        <c:crossBetween val="midCat"/>
        <c:majorUnit val="500"/>
      </c:valAx>
      <c:valAx>
        <c:axId val="245757440"/>
        <c:scaling>
          <c:orientation val="minMax"/>
        </c:scaling>
        <c:delete val="0"/>
        <c:axPos val="r"/>
        <c:numFmt formatCode="0" sourceLinked="0"/>
        <c:majorTickMark val="out"/>
        <c:minorTickMark val="none"/>
        <c:tickLblPos val="nextTo"/>
        <c:spPr>
          <a:ln>
            <a:noFill/>
          </a:ln>
        </c:spPr>
        <c:txPr>
          <a:bodyPr/>
          <a:lstStyle/>
          <a:p>
            <a:pPr>
              <a:defRPr sz="3200">
                <a:latin typeface="Arial" panose="020B0604020202020204" pitchFamily="34" charset="0"/>
                <a:cs typeface="Arial" panose="020B0604020202020204" pitchFamily="34" charset="0"/>
              </a:defRPr>
            </a:pPr>
            <a:endParaRPr lang="en-US"/>
          </a:p>
        </c:txPr>
        <c:crossAx val="245759360"/>
        <c:crosses val="max"/>
        <c:crossBetween val="between"/>
        <c:majorUnit val="20"/>
      </c:valAx>
      <c:dateAx>
        <c:axId val="245759360"/>
        <c:scaling>
          <c:orientation val="minMax"/>
        </c:scaling>
        <c:delete val="1"/>
        <c:axPos val="b"/>
        <c:numFmt formatCode="[$-409]mmm\-yy;@" sourceLinked="1"/>
        <c:majorTickMark val="out"/>
        <c:minorTickMark val="none"/>
        <c:tickLblPos val="none"/>
        <c:crossAx val="245757440"/>
        <c:crosses val="autoZero"/>
        <c:auto val="1"/>
        <c:lblOffset val="100"/>
        <c:baseTimeUnit val="days"/>
      </c:dateAx>
      <c:spPr>
        <a:noFill/>
        <a:ln>
          <a:noFill/>
        </a:ln>
        <a:effectLst/>
      </c:spPr>
    </c:plotArea>
    <c:legend>
      <c:legendPos val="t"/>
      <c:layout>
        <c:manualLayout>
          <c:xMode val="edge"/>
          <c:yMode val="edge"/>
          <c:x val="0.15421580635753865"/>
          <c:y val="5.1527630314414888E-2"/>
          <c:w val="0.76697136191309434"/>
          <c:h val="0.18638281352264832"/>
        </c:manualLayout>
      </c:layout>
      <c:overlay val="1"/>
      <c:txPr>
        <a:bodyPr/>
        <a:lstStyle/>
        <a:p>
          <a:pPr>
            <a:defRPr sz="3200">
              <a:latin typeface="Arial" panose="020B0604020202020204" pitchFamily="34" charset="0"/>
              <a:cs typeface="Arial" panose="020B0604020202020204" pitchFamily="34" charset="0"/>
            </a:defRPr>
          </a:pPr>
          <a:endParaRPr lang="en-US"/>
        </a:p>
      </c:txPr>
    </c:legend>
    <c:plotVisOnly val="1"/>
    <c:dispBlanksAs val="gap"/>
    <c:showDLblsOverMax val="0"/>
  </c:chart>
  <c:spPr>
    <a:solidFill>
      <a:srgbClr val="FFFFFF">
        <a:lumMod val="100000"/>
      </a:srgbClr>
    </a:solidFill>
    <a:ln w="9525" cap="flat" cmpd="sng" algn="ctr">
      <a:noFill/>
      <a:round/>
    </a:ln>
    <a:effectLst/>
  </c:spPr>
  <c:txPr>
    <a:bodyPr/>
    <a:lstStyle/>
    <a:p>
      <a:pPr>
        <a:defRPr sz="2000" b="0">
          <a:solidFill>
            <a:schemeClr val="tx1">
              <a:lumMod val="85000"/>
              <a:lumOff val="15000"/>
            </a:schemeClr>
          </a:solidFill>
          <a:latin typeface="Verdana" panose="020B0604030504040204" pitchFamily="34" charset="0"/>
          <a:ea typeface="Verdana" panose="020B0604030504040204" pitchFamily="34" charset="0"/>
          <a:cs typeface="Arial" panose="020B0604020202020204" pitchFamily="34" charset="0"/>
        </a:defRPr>
      </a:pPr>
      <a:endParaRPr lang="en-US"/>
    </a:p>
  </c:txPr>
  <c:printSettings>
    <c:headerFooter/>
    <c:pageMargins b="0.75000000000000944" l="0.70000000000000062" r="0.70000000000000062" t="0.75000000000000944"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'18.C'!$P$5</c:f>
              <c:strCache>
                <c:ptCount val="1"/>
                <c:pt idx="0">
                  <c:v>Urea</c:v>
                </c:pt>
              </c:strCache>
            </c:strRef>
          </c:tx>
          <c:spPr>
            <a:solidFill>
              <a:srgbClr val="002345"/>
            </a:solidFill>
            <a:ln w="76200">
              <a:noFill/>
            </a:ln>
            <a:effectLst/>
          </c:spPr>
          <c:invertIfNegative val="0"/>
          <c:cat>
            <c:numRef>
              <c:f>'18.C'!$Q$4:$V$4</c:f>
              <c:numCache>
                <c:formatCode>General</c:formatCode>
                <c:ptCount val="6"/>
                <c:pt idx="0">
                  <c:v>2021</c:v>
                </c:pt>
                <c:pt idx="1">
                  <c:v>2022</c:v>
                </c:pt>
                <c:pt idx="2">
                  <c:v>2023</c:v>
                </c:pt>
                <c:pt idx="3">
                  <c:v>2024</c:v>
                </c:pt>
                <c:pt idx="4">
                  <c:v>2025</c:v>
                </c:pt>
                <c:pt idx="5">
                  <c:v>2026</c:v>
                </c:pt>
              </c:numCache>
            </c:numRef>
          </c:cat>
          <c:val>
            <c:numRef>
              <c:f>'18.C'!$Q$5:$V$5</c:f>
              <c:numCache>
                <c:formatCode>General</c:formatCode>
                <c:ptCount val="6"/>
                <c:pt idx="0">
                  <c:v>0.43</c:v>
                </c:pt>
                <c:pt idx="1">
                  <c:v>0.24</c:v>
                </c:pt>
                <c:pt idx="2">
                  <c:v>0.41</c:v>
                </c:pt>
                <c:pt idx="3">
                  <c:v>0.02</c:v>
                </c:pt>
                <c:pt idx="4">
                  <c:v>0</c:v>
                </c:pt>
                <c:pt idx="5">
                  <c:v>0.22</c:v>
                </c:pt>
              </c:numCache>
            </c:numRef>
          </c:val>
          <c:extLst>
            <c:ext xmlns:c16="http://schemas.microsoft.com/office/drawing/2014/chart" uri="{C3380CC4-5D6E-409C-BE32-E72D297353CC}">
              <c16:uniqueId val="{00000000-43CD-4DB4-B7C2-2155FA73E066}"/>
            </c:ext>
          </c:extLst>
        </c:ser>
        <c:ser>
          <c:idx val="1"/>
          <c:order val="1"/>
          <c:tx>
            <c:strRef>
              <c:f>'18.C'!$P$6</c:f>
              <c:strCache>
                <c:ptCount val="1"/>
                <c:pt idx="0">
                  <c:v>DAP</c:v>
                </c:pt>
              </c:strCache>
            </c:strRef>
          </c:tx>
          <c:spPr>
            <a:solidFill>
              <a:srgbClr val="EB1C2D"/>
            </a:solidFill>
            <a:ln w="76200">
              <a:noFill/>
            </a:ln>
            <a:effectLst/>
          </c:spPr>
          <c:invertIfNegative val="0"/>
          <c:cat>
            <c:numRef>
              <c:f>'18.C'!$Q$4:$V$4</c:f>
              <c:numCache>
                <c:formatCode>General</c:formatCode>
                <c:ptCount val="6"/>
                <c:pt idx="0">
                  <c:v>2021</c:v>
                </c:pt>
                <c:pt idx="1">
                  <c:v>2022</c:v>
                </c:pt>
                <c:pt idx="2">
                  <c:v>2023</c:v>
                </c:pt>
                <c:pt idx="3">
                  <c:v>2024</c:v>
                </c:pt>
                <c:pt idx="4">
                  <c:v>2025</c:v>
                </c:pt>
                <c:pt idx="5">
                  <c:v>2026</c:v>
                </c:pt>
              </c:numCache>
            </c:numRef>
          </c:cat>
          <c:val>
            <c:numRef>
              <c:f>'18.C'!$Q$6:$V$6</c:f>
              <c:numCache>
                <c:formatCode>General</c:formatCode>
                <c:ptCount val="6"/>
                <c:pt idx="0">
                  <c:v>0.4</c:v>
                </c:pt>
                <c:pt idx="1">
                  <c:v>0.36</c:v>
                </c:pt>
                <c:pt idx="2">
                  <c:v>0.37</c:v>
                </c:pt>
                <c:pt idx="3">
                  <c:v>0.12</c:v>
                </c:pt>
                <c:pt idx="4">
                  <c:v>0.06</c:v>
                </c:pt>
                <c:pt idx="5">
                  <c:v>0.02</c:v>
                </c:pt>
              </c:numCache>
            </c:numRef>
          </c:val>
          <c:extLst>
            <c:ext xmlns:c16="http://schemas.microsoft.com/office/drawing/2014/chart" uri="{C3380CC4-5D6E-409C-BE32-E72D297353CC}">
              <c16:uniqueId val="{00000001-43CD-4DB4-B7C2-2155FA73E066}"/>
            </c:ext>
          </c:extLst>
        </c:ser>
        <c:dLbls>
          <c:showLegendKey val="0"/>
          <c:showVal val="0"/>
          <c:showCatName val="0"/>
          <c:showSerName val="0"/>
          <c:showPercent val="0"/>
          <c:showBubbleSize val="0"/>
        </c:dLbls>
        <c:gapWidth val="150"/>
        <c:overlap val="100"/>
        <c:axId val="632532015"/>
        <c:axId val="632531535"/>
      </c:barChart>
      <c:catAx>
        <c:axId val="632532015"/>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632531535"/>
        <c:crosses val="autoZero"/>
        <c:auto val="1"/>
        <c:lblAlgn val="ctr"/>
        <c:lblOffset val="100"/>
        <c:noMultiLvlLbl val="0"/>
      </c:catAx>
      <c:valAx>
        <c:axId val="632531535"/>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6325320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036964129483815E-2"/>
          <c:y val="0.13012479875695557"/>
          <c:w val="0.92524081364829391"/>
          <c:h val="0.63391226447893723"/>
        </c:manualLayout>
      </c:layout>
      <c:lineChart>
        <c:grouping val="standard"/>
        <c:varyColors val="0"/>
        <c:ser>
          <c:idx val="0"/>
          <c:order val="0"/>
          <c:tx>
            <c:strRef>
              <c:f>'18.D'!$S$3</c:f>
              <c:strCache>
                <c:ptCount val="1"/>
                <c:pt idx="0">
                  <c:v>DAP </c:v>
                </c:pt>
              </c:strCache>
            </c:strRef>
          </c:tx>
          <c:spPr>
            <a:ln w="76200" cap="rnd">
              <a:solidFill>
                <a:srgbClr val="002345"/>
              </a:solidFill>
              <a:round/>
            </a:ln>
            <a:effectLst/>
          </c:spPr>
          <c:marker>
            <c:symbol val="none"/>
          </c:marker>
          <c:cat>
            <c:numRef>
              <c:f>'18.D'!$R$4:$R$78</c:f>
              <c:numCache>
                <c:formatCode>m/d/yyyy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'18.D'!$S$4:$S$78</c:f>
              <c:numCache>
                <c:formatCode>0.00</c:formatCode>
                <c:ptCount val="75"/>
                <c:pt idx="0">
                  <c:v>0.85</c:v>
                </c:pt>
                <c:pt idx="1">
                  <c:v>0.9</c:v>
                </c:pt>
                <c:pt idx="2">
                  <c:v>0.93</c:v>
                </c:pt>
                <c:pt idx="3">
                  <c:v>0.95</c:v>
                </c:pt>
                <c:pt idx="4">
                  <c:v>0.95</c:v>
                </c:pt>
                <c:pt idx="5">
                  <c:v>0.9</c:v>
                </c:pt>
                <c:pt idx="6">
                  <c:v>0.98</c:v>
                </c:pt>
                <c:pt idx="7">
                  <c:v>1.01</c:v>
                </c:pt>
                <c:pt idx="8">
                  <c:v>0.99</c:v>
                </c:pt>
                <c:pt idx="9">
                  <c:v>0.98</c:v>
                </c:pt>
                <c:pt idx="10">
                  <c:v>0.93</c:v>
                </c:pt>
                <c:pt idx="11">
                  <c:v>0.99</c:v>
                </c:pt>
                <c:pt idx="12">
                  <c:v>0.98</c:v>
                </c:pt>
                <c:pt idx="13">
                  <c:v>1.29</c:v>
                </c:pt>
                <c:pt idx="14">
                  <c:v>1.32</c:v>
                </c:pt>
                <c:pt idx="15">
                  <c:v>1.33</c:v>
                </c:pt>
                <c:pt idx="16">
                  <c:v>1.37</c:v>
                </c:pt>
                <c:pt idx="17">
                  <c:v>1.48</c:v>
                </c:pt>
                <c:pt idx="18">
                  <c:v>1.51</c:v>
                </c:pt>
                <c:pt idx="19">
                  <c:v>1.5</c:v>
                </c:pt>
                <c:pt idx="20">
                  <c:v>1.58</c:v>
                </c:pt>
                <c:pt idx="21">
                  <c:v>1.68</c:v>
                </c:pt>
                <c:pt idx="22">
                  <c:v>1.8</c:v>
                </c:pt>
                <c:pt idx="23">
                  <c:v>1.86</c:v>
                </c:pt>
                <c:pt idx="24">
                  <c:v>1.74</c:v>
                </c:pt>
                <c:pt idx="25">
                  <c:v>1.65</c:v>
                </c:pt>
                <c:pt idx="26">
                  <c:v>1.73</c:v>
                </c:pt>
                <c:pt idx="27">
                  <c:v>1.86</c:v>
                </c:pt>
                <c:pt idx="28">
                  <c:v>1.8</c:v>
                </c:pt>
                <c:pt idx="29">
                  <c:v>1.67</c:v>
                </c:pt>
                <c:pt idx="30">
                  <c:v>1.84</c:v>
                </c:pt>
                <c:pt idx="31">
                  <c:v>1.78</c:v>
                </c:pt>
                <c:pt idx="32">
                  <c:v>1.79</c:v>
                </c:pt>
                <c:pt idx="33">
                  <c:v>1.7</c:v>
                </c:pt>
                <c:pt idx="34">
                  <c:v>1.58</c:v>
                </c:pt>
                <c:pt idx="35">
                  <c:v>1.5</c:v>
                </c:pt>
                <c:pt idx="36">
                  <c:v>1.46</c:v>
                </c:pt>
                <c:pt idx="37">
                  <c:v>1.39</c:v>
                </c:pt>
                <c:pt idx="38">
                  <c:v>1.4</c:v>
                </c:pt>
                <c:pt idx="39">
                  <c:v>1.4</c:v>
                </c:pt>
                <c:pt idx="40">
                  <c:v>1.27</c:v>
                </c:pt>
                <c:pt idx="41">
                  <c:v>1.06</c:v>
                </c:pt>
                <c:pt idx="42">
                  <c:v>1.05</c:v>
                </c:pt>
                <c:pt idx="43">
                  <c:v>1.23</c:v>
                </c:pt>
                <c:pt idx="44">
                  <c:v>1.23</c:v>
                </c:pt>
                <c:pt idx="45">
                  <c:v>1.27</c:v>
                </c:pt>
                <c:pt idx="46">
                  <c:v>1.24</c:v>
                </c:pt>
                <c:pt idx="47">
                  <c:v>1.24</c:v>
                </c:pt>
                <c:pt idx="48">
                  <c:v>1.27</c:v>
                </c:pt>
                <c:pt idx="49">
                  <c:v>1.29</c:v>
                </c:pt>
                <c:pt idx="50">
                  <c:v>1.27</c:v>
                </c:pt>
                <c:pt idx="51">
                  <c:v>1.26</c:v>
                </c:pt>
                <c:pt idx="52">
                  <c:v>1.22</c:v>
                </c:pt>
                <c:pt idx="53">
                  <c:v>1.37</c:v>
                </c:pt>
                <c:pt idx="54">
                  <c:v>1.48</c:v>
                </c:pt>
                <c:pt idx="55">
                  <c:v>1.52</c:v>
                </c:pt>
                <c:pt idx="56">
                  <c:v>1.46</c:v>
                </c:pt>
                <c:pt idx="57">
                  <c:v>1.44</c:v>
                </c:pt>
                <c:pt idx="58">
                  <c:v>1.4</c:v>
                </c:pt>
                <c:pt idx="59">
                  <c:v>1.38</c:v>
                </c:pt>
                <c:pt idx="60">
                  <c:v>1.39</c:v>
                </c:pt>
                <c:pt idx="61">
                  <c:v>1.4</c:v>
                </c:pt>
                <c:pt idx="62">
                  <c:v>1.43</c:v>
                </c:pt>
                <c:pt idx="63">
                  <c:v>1.49</c:v>
                </c:pt>
                <c:pt idx="64">
                  <c:v>1.66</c:v>
                </c:pt>
                <c:pt idx="65">
                  <c:v>2</c:v>
                </c:pt>
                <c:pt idx="66">
                  <c:v>2.02</c:v>
                </c:pt>
                <c:pt idx="67">
                  <c:v>2.06</c:v>
                </c:pt>
                <c:pt idx="68">
                  <c:v>2.42</c:v>
                </c:pt>
                <c:pt idx="69">
                  <c:v>2.36</c:v>
                </c:pt>
                <c:pt idx="70">
                  <c:v>2.16</c:v>
                </c:pt>
                <c:pt idx="71">
                  <c:v>1.91</c:v>
                </c:pt>
                <c:pt idx="72">
                  <c:v>1.85</c:v>
                </c:pt>
                <c:pt idx="73">
                  <c:v>1.84</c:v>
                </c:pt>
                <c:pt idx="74">
                  <c:v>1.88</c:v>
                </c:pt>
              </c:numCache>
            </c:numRef>
          </c:val>
          <c:smooth val="0"/>
          <c:extLst>
            <c:ext xmlns:c16="http://schemas.microsoft.com/office/drawing/2014/chart" uri="{C3380CC4-5D6E-409C-BE32-E72D297353CC}">
              <c16:uniqueId val="{00000000-44E7-4827-842B-DFDB356B3404}"/>
            </c:ext>
          </c:extLst>
        </c:ser>
        <c:ser>
          <c:idx val="1"/>
          <c:order val="1"/>
          <c:tx>
            <c:strRef>
              <c:f>'18.D'!$T$3</c:f>
              <c:strCache>
                <c:ptCount val="1"/>
                <c:pt idx="0">
                  <c:v>Urea </c:v>
                </c:pt>
              </c:strCache>
            </c:strRef>
          </c:tx>
          <c:spPr>
            <a:ln w="76200" cap="rnd">
              <a:solidFill>
                <a:srgbClr val="EB1C2D"/>
              </a:solidFill>
              <a:round/>
            </a:ln>
            <a:effectLst/>
          </c:spPr>
          <c:marker>
            <c:symbol val="none"/>
          </c:marker>
          <c:cat>
            <c:numRef>
              <c:f>'18.D'!$R$4:$R$78</c:f>
              <c:numCache>
                <c:formatCode>m/d/yyyy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'18.D'!$T$4:$T$78</c:f>
              <c:numCache>
                <c:formatCode>0.00</c:formatCode>
                <c:ptCount val="75"/>
                <c:pt idx="0">
                  <c:v>0.85</c:v>
                </c:pt>
                <c:pt idx="1">
                  <c:v>0.88</c:v>
                </c:pt>
                <c:pt idx="2">
                  <c:v>0.97</c:v>
                </c:pt>
                <c:pt idx="3">
                  <c:v>1.01</c:v>
                </c:pt>
                <c:pt idx="4">
                  <c:v>0.87</c:v>
                </c:pt>
                <c:pt idx="5">
                  <c:v>0.85</c:v>
                </c:pt>
                <c:pt idx="6">
                  <c:v>0.89</c:v>
                </c:pt>
                <c:pt idx="7">
                  <c:v>1.01</c:v>
                </c:pt>
                <c:pt idx="8">
                  <c:v>0.97</c:v>
                </c:pt>
                <c:pt idx="9">
                  <c:v>0.92</c:v>
                </c:pt>
                <c:pt idx="10">
                  <c:v>0.87</c:v>
                </c:pt>
                <c:pt idx="11">
                  <c:v>0.84</c:v>
                </c:pt>
                <c:pt idx="12">
                  <c:v>0.85</c:v>
                </c:pt>
                <c:pt idx="13">
                  <c:v>1.06</c:v>
                </c:pt>
                <c:pt idx="14">
                  <c:v>1.1299999999999999</c:v>
                </c:pt>
                <c:pt idx="15">
                  <c:v>1.01</c:v>
                </c:pt>
                <c:pt idx="16">
                  <c:v>0.96</c:v>
                </c:pt>
                <c:pt idx="17">
                  <c:v>1.18</c:v>
                </c:pt>
                <c:pt idx="18">
                  <c:v>1.33</c:v>
                </c:pt>
                <c:pt idx="19">
                  <c:v>1.34</c:v>
                </c:pt>
                <c:pt idx="20">
                  <c:v>1.29</c:v>
                </c:pt>
                <c:pt idx="21">
                  <c:v>2.11</c:v>
                </c:pt>
                <c:pt idx="22">
                  <c:v>2.71</c:v>
                </c:pt>
                <c:pt idx="23">
                  <c:v>2.68</c:v>
                </c:pt>
                <c:pt idx="24">
                  <c:v>2.4300000000000002</c:v>
                </c:pt>
                <c:pt idx="25">
                  <c:v>2.0099999999999998</c:v>
                </c:pt>
                <c:pt idx="26">
                  <c:v>2.12</c:v>
                </c:pt>
                <c:pt idx="27">
                  <c:v>2.2400000000000002</c:v>
                </c:pt>
                <c:pt idx="28">
                  <c:v>1.71</c:v>
                </c:pt>
                <c:pt idx="29">
                  <c:v>1.75</c:v>
                </c:pt>
                <c:pt idx="30">
                  <c:v>1.67</c:v>
                </c:pt>
                <c:pt idx="31">
                  <c:v>1.66</c:v>
                </c:pt>
                <c:pt idx="32">
                  <c:v>1.91</c:v>
                </c:pt>
                <c:pt idx="33">
                  <c:v>1.78</c:v>
                </c:pt>
                <c:pt idx="34">
                  <c:v>1.65</c:v>
                </c:pt>
                <c:pt idx="35">
                  <c:v>1.48</c:v>
                </c:pt>
                <c:pt idx="36">
                  <c:v>1.26</c:v>
                </c:pt>
                <c:pt idx="37">
                  <c:v>1.01</c:v>
                </c:pt>
                <c:pt idx="38">
                  <c:v>0.91</c:v>
                </c:pt>
                <c:pt idx="39">
                  <c:v>0.88</c:v>
                </c:pt>
                <c:pt idx="40">
                  <c:v>0.96</c:v>
                </c:pt>
                <c:pt idx="41">
                  <c:v>0.87</c:v>
                </c:pt>
                <c:pt idx="42">
                  <c:v>1</c:v>
                </c:pt>
                <c:pt idx="43">
                  <c:v>1.17</c:v>
                </c:pt>
                <c:pt idx="44">
                  <c:v>1.1299999999999999</c:v>
                </c:pt>
                <c:pt idx="45">
                  <c:v>1.24</c:v>
                </c:pt>
                <c:pt idx="46">
                  <c:v>1.1499999999999999</c:v>
                </c:pt>
                <c:pt idx="47">
                  <c:v>1.0900000000000001</c:v>
                </c:pt>
                <c:pt idx="48">
                  <c:v>1.05</c:v>
                </c:pt>
                <c:pt idx="49">
                  <c:v>1.1100000000000001</c:v>
                </c:pt>
                <c:pt idx="50">
                  <c:v>1.04</c:v>
                </c:pt>
                <c:pt idx="51">
                  <c:v>1.01</c:v>
                </c:pt>
                <c:pt idx="52">
                  <c:v>0.89</c:v>
                </c:pt>
                <c:pt idx="53">
                  <c:v>1.08</c:v>
                </c:pt>
                <c:pt idx="54">
                  <c:v>1.1100000000000001</c:v>
                </c:pt>
                <c:pt idx="55">
                  <c:v>1.1399999999999999</c:v>
                </c:pt>
                <c:pt idx="56">
                  <c:v>1.0900000000000001</c:v>
                </c:pt>
                <c:pt idx="57">
                  <c:v>1.19</c:v>
                </c:pt>
                <c:pt idx="58">
                  <c:v>1.1200000000000001</c:v>
                </c:pt>
                <c:pt idx="59">
                  <c:v>1.1299999999999999</c:v>
                </c:pt>
                <c:pt idx="60">
                  <c:v>1.23</c:v>
                </c:pt>
                <c:pt idx="61">
                  <c:v>1.42</c:v>
                </c:pt>
                <c:pt idx="62">
                  <c:v>1.31</c:v>
                </c:pt>
                <c:pt idx="63">
                  <c:v>1.3</c:v>
                </c:pt>
                <c:pt idx="64">
                  <c:v>1.34</c:v>
                </c:pt>
                <c:pt idx="65">
                  <c:v>1.46</c:v>
                </c:pt>
                <c:pt idx="66">
                  <c:v>1.7</c:v>
                </c:pt>
                <c:pt idx="67">
                  <c:v>1.76</c:v>
                </c:pt>
                <c:pt idx="68">
                  <c:v>1.59</c:v>
                </c:pt>
                <c:pt idx="69">
                  <c:v>1.37</c:v>
                </c:pt>
                <c:pt idx="70">
                  <c:v>1.39</c:v>
                </c:pt>
                <c:pt idx="71">
                  <c:v>1.33</c:v>
                </c:pt>
                <c:pt idx="72">
                  <c:v>1.38</c:v>
                </c:pt>
                <c:pt idx="73">
                  <c:v>1.54</c:v>
                </c:pt>
                <c:pt idx="74">
                  <c:v>2.2999999999999998</c:v>
                </c:pt>
              </c:numCache>
            </c:numRef>
          </c:val>
          <c:smooth val="0"/>
          <c:extLst>
            <c:ext xmlns:c16="http://schemas.microsoft.com/office/drawing/2014/chart" uri="{C3380CC4-5D6E-409C-BE32-E72D297353CC}">
              <c16:uniqueId val="{00000001-44E7-4827-842B-DFDB356B3404}"/>
            </c:ext>
          </c:extLst>
        </c:ser>
        <c:ser>
          <c:idx val="2"/>
          <c:order val="2"/>
          <c:tx>
            <c:strRef>
              <c:f>'18.D'!$U$3</c:f>
              <c:strCache>
                <c:ptCount val="1"/>
                <c:pt idx="0">
                  <c:v>MOP</c:v>
                </c:pt>
              </c:strCache>
            </c:strRef>
          </c:tx>
          <c:spPr>
            <a:ln w="76200" cap="rnd">
              <a:solidFill>
                <a:srgbClr val="F78D28"/>
              </a:solidFill>
              <a:round/>
            </a:ln>
            <a:effectLst/>
          </c:spPr>
          <c:marker>
            <c:symbol val="none"/>
          </c:marker>
          <c:cat>
            <c:numRef>
              <c:f>'18.D'!$R$4:$R$78</c:f>
              <c:numCache>
                <c:formatCode>m/d/yyyy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'18.D'!$U$4:$U$78</c:f>
              <c:numCache>
                <c:formatCode>0.00</c:formatCode>
                <c:ptCount val="75"/>
                <c:pt idx="0">
                  <c:v>0.72</c:v>
                </c:pt>
                <c:pt idx="1">
                  <c:v>0.68</c:v>
                </c:pt>
                <c:pt idx="2">
                  <c:v>0.68</c:v>
                </c:pt>
                <c:pt idx="3">
                  <c:v>0.65</c:v>
                </c:pt>
                <c:pt idx="4">
                  <c:v>0.66</c:v>
                </c:pt>
                <c:pt idx="5">
                  <c:v>0.65</c:v>
                </c:pt>
                <c:pt idx="6">
                  <c:v>0.67</c:v>
                </c:pt>
                <c:pt idx="7">
                  <c:v>0.67</c:v>
                </c:pt>
                <c:pt idx="8">
                  <c:v>0.66</c:v>
                </c:pt>
                <c:pt idx="9">
                  <c:v>0.65</c:v>
                </c:pt>
                <c:pt idx="10">
                  <c:v>0.61</c:v>
                </c:pt>
                <c:pt idx="11">
                  <c:v>0.57999999999999996</c:v>
                </c:pt>
                <c:pt idx="12">
                  <c:v>0.56000000000000005</c:v>
                </c:pt>
                <c:pt idx="13">
                  <c:v>0.63</c:v>
                </c:pt>
                <c:pt idx="14">
                  <c:v>0.7</c:v>
                </c:pt>
                <c:pt idx="15">
                  <c:v>0.73</c:v>
                </c:pt>
                <c:pt idx="16">
                  <c:v>0.75</c:v>
                </c:pt>
                <c:pt idx="17">
                  <c:v>0.95</c:v>
                </c:pt>
                <c:pt idx="18">
                  <c:v>1.31</c:v>
                </c:pt>
                <c:pt idx="19">
                  <c:v>1.43</c:v>
                </c:pt>
                <c:pt idx="20">
                  <c:v>1.55</c:v>
                </c:pt>
                <c:pt idx="21">
                  <c:v>1.62</c:v>
                </c:pt>
                <c:pt idx="22">
                  <c:v>1.66</c:v>
                </c:pt>
                <c:pt idx="23">
                  <c:v>1.66</c:v>
                </c:pt>
                <c:pt idx="24">
                  <c:v>1.54</c:v>
                </c:pt>
                <c:pt idx="25">
                  <c:v>1.47</c:v>
                </c:pt>
                <c:pt idx="26">
                  <c:v>1.63</c:v>
                </c:pt>
                <c:pt idx="27">
                  <c:v>1.99</c:v>
                </c:pt>
                <c:pt idx="28">
                  <c:v>1.93</c:v>
                </c:pt>
                <c:pt idx="29">
                  <c:v>1.92</c:v>
                </c:pt>
                <c:pt idx="30">
                  <c:v>1.93</c:v>
                </c:pt>
                <c:pt idx="31">
                  <c:v>1.71</c:v>
                </c:pt>
                <c:pt idx="32">
                  <c:v>1.41</c:v>
                </c:pt>
                <c:pt idx="33">
                  <c:v>1.19</c:v>
                </c:pt>
                <c:pt idx="34">
                  <c:v>1.08</c:v>
                </c:pt>
                <c:pt idx="35">
                  <c:v>1</c:v>
                </c:pt>
                <c:pt idx="36">
                  <c:v>0.99</c:v>
                </c:pt>
                <c:pt idx="37">
                  <c:v>0.96</c:v>
                </c:pt>
                <c:pt idx="38">
                  <c:v>0.9</c:v>
                </c:pt>
                <c:pt idx="39">
                  <c:v>0.79</c:v>
                </c:pt>
                <c:pt idx="40">
                  <c:v>0.74</c:v>
                </c:pt>
                <c:pt idx="41">
                  <c:v>0.68</c:v>
                </c:pt>
                <c:pt idx="42">
                  <c:v>0.7</c:v>
                </c:pt>
                <c:pt idx="43">
                  <c:v>0.73</c:v>
                </c:pt>
                <c:pt idx="44">
                  <c:v>0.72</c:v>
                </c:pt>
                <c:pt idx="45">
                  <c:v>0.71</c:v>
                </c:pt>
                <c:pt idx="46">
                  <c:v>0.68</c:v>
                </c:pt>
                <c:pt idx="47">
                  <c:v>0.66</c:v>
                </c:pt>
                <c:pt idx="48">
                  <c:v>0.63</c:v>
                </c:pt>
                <c:pt idx="49">
                  <c:v>0.63</c:v>
                </c:pt>
                <c:pt idx="50">
                  <c:v>0.65</c:v>
                </c:pt>
                <c:pt idx="51">
                  <c:v>0.66</c:v>
                </c:pt>
                <c:pt idx="52">
                  <c:v>0.66</c:v>
                </c:pt>
                <c:pt idx="53">
                  <c:v>0.68</c:v>
                </c:pt>
                <c:pt idx="54">
                  <c:v>0.67</c:v>
                </c:pt>
                <c:pt idx="55">
                  <c:v>0.67</c:v>
                </c:pt>
                <c:pt idx="56">
                  <c:v>0.63</c:v>
                </c:pt>
                <c:pt idx="57">
                  <c:v>0.6</c:v>
                </c:pt>
                <c:pt idx="58">
                  <c:v>0.61</c:v>
                </c:pt>
                <c:pt idx="59">
                  <c:v>0.64</c:v>
                </c:pt>
                <c:pt idx="60">
                  <c:v>0.67</c:v>
                </c:pt>
                <c:pt idx="61">
                  <c:v>0.71</c:v>
                </c:pt>
                <c:pt idx="62">
                  <c:v>0.77</c:v>
                </c:pt>
                <c:pt idx="63">
                  <c:v>0.81</c:v>
                </c:pt>
                <c:pt idx="64">
                  <c:v>0.85</c:v>
                </c:pt>
                <c:pt idx="65">
                  <c:v>0.86</c:v>
                </c:pt>
                <c:pt idx="66">
                  <c:v>0.85</c:v>
                </c:pt>
                <c:pt idx="67">
                  <c:v>0.84</c:v>
                </c:pt>
                <c:pt idx="68">
                  <c:v>0.83</c:v>
                </c:pt>
                <c:pt idx="69">
                  <c:v>0.84</c:v>
                </c:pt>
                <c:pt idx="70">
                  <c:v>0.82</c:v>
                </c:pt>
                <c:pt idx="71">
                  <c:v>0.83</c:v>
                </c:pt>
                <c:pt idx="72">
                  <c:v>0.83</c:v>
                </c:pt>
                <c:pt idx="73">
                  <c:v>0.83</c:v>
                </c:pt>
                <c:pt idx="74">
                  <c:v>0.83</c:v>
                </c:pt>
              </c:numCache>
            </c:numRef>
          </c:val>
          <c:smooth val="0"/>
          <c:extLst>
            <c:ext xmlns:c16="http://schemas.microsoft.com/office/drawing/2014/chart" uri="{C3380CC4-5D6E-409C-BE32-E72D297353CC}">
              <c16:uniqueId val="{00000002-44E7-4827-842B-DFDB356B3404}"/>
            </c:ext>
          </c:extLst>
        </c:ser>
        <c:dLbls>
          <c:showLegendKey val="0"/>
          <c:showVal val="0"/>
          <c:showCatName val="0"/>
          <c:showSerName val="0"/>
          <c:showPercent val="0"/>
          <c:showBubbleSize val="0"/>
        </c:dLbls>
        <c:smooth val="0"/>
        <c:axId val="78502448"/>
        <c:axId val="78495248"/>
      </c:lineChart>
      <c:dateAx>
        <c:axId val="78502448"/>
        <c:scaling>
          <c:orientation val="minMax"/>
          <c:max val="46113"/>
        </c:scaling>
        <c:delete val="0"/>
        <c:axPos val="b"/>
        <c:numFmt formatCode="mmm\-yy" sourceLinked="0"/>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78495248"/>
        <c:crosses val="autoZero"/>
        <c:auto val="1"/>
        <c:lblOffset val="100"/>
        <c:baseTimeUnit val="days"/>
        <c:majorUnit val="205"/>
        <c:majorTimeUnit val="days"/>
      </c:dateAx>
      <c:valAx>
        <c:axId val="784952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8502448"/>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73597337989659"/>
          <c:y val="0.11042461358996793"/>
          <c:w val="0.85045033029323247"/>
          <c:h val="0.63494502770487027"/>
        </c:manualLayout>
      </c:layout>
      <c:lineChart>
        <c:grouping val="standard"/>
        <c:varyColors val="0"/>
        <c:ser>
          <c:idx val="1"/>
          <c:order val="0"/>
          <c:tx>
            <c:strRef>
              <c:f>'17.C'!$R$1</c:f>
              <c:strCache>
                <c:ptCount val="1"/>
                <c:pt idx="0">
                  <c:v> DAP Index </c:v>
                </c:pt>
              </c:strCache>
            </c:strRef>
          </c:tx>
          <c:spPr>
            <a:ln w="76200">
              <a:solidFill>
                <a:schemeClr val="accent1"/>
              </a:solidFill>
            </a:ln>
          </c:spPr>
          <c:marker>
            <c:symbol val="none"/>
          </c:marker>
          <c:cat>
            <c:numRef>
              <c:f>'17.C'!$Q$2:$Q$121</c:f>
              <c:numCache>
                <c:formatCode>[$-409]mmm\-yy;@</c:formatCode>
                <c:ptCount val="12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45598</c:v>
                </c:pt>
                <c:pt idx="59">
                  <c:v>45630</c:v>
                </c:pt>
                <c:pt idx="60">
                  <c:v>45662</c:v>
                </c:pt>
                <c:pt idx="61">
                  <c:v>45694</c:v>
                </c:pt>
                <c:pt idx="62">
                  <c:v>45726</c:v>
                </c:pt>
                <c:pt idx="63">
                  <c:v>45758</c:v>
                </c:pt>
                <c:pt idx="64">
                  <c:v>45790</c:v>
                </c:pt>
                <c:pt idx="65">
                  <c:v>45822</c:v>
                </c:pt>
                <c:pt idx="66">
                  <c:v>45854</c:v>
                </c:pt>
                <c:pt idx="67">
                  <c:v>45886</c:v>
                </c:pt>
                <c:pt idx="68">
                  <c:v>45918</c:v>
                </c:pt>
              </c:numCache>
            </c:numRef>
          </c:cat>
          <c:val>
            <c:numRef>
              <c:f>'17.C'!$R$2:$R$121</c:f>
              <c:numCache>
                <c:formatCode>0.00</c:formatCode>
                <c:ptCount val="120"/>
                <c:pt idx="0">
                  <c:v>0.7</c:v>
                </c:pt>
                <c:pt idx="1">
                  <c:v>0.8</c:v>
                </c:pt>
                <c:pt idx="2">
                  <c:v>0.8</c:v>
                </c:pt>
                <c:pt idx="3">
                  <c:v>0.8</c:v>
                </c:pt>
                <c:pt idx="4">
                  <c:v>0.8</c:v>
                </c:pt>
                <c:pt idx="5">
                  <c:v>0.8</c:v>
                </c:pt>
                <c:pt idx="6">
                  <c:v>0.9</c:v>
                </c:pt>
                <c:pt idx="7">
                  <c:v>1</c:v>
                </c:pt>
                <c:pt idx="8">
                  <c:v>1</c:v>
                </c:pt>
                <c:pt idx="9">
                  <c:v>0.9</c:v>
                </c:pt>
                <c:pt idx="10">
                  <c:v>0.9</c:v>
                </c:pt>
                <c:pt idx="11">
                  <c:v>0.9</c:v>
                </c:pt>
                <c:pt idx="12">
                  <c:v>0.9</c:v>
                </c:pt>
                <c:pt idx="13">
                  <c:v>1.2</c:v>
                </c:pt>
                <c:pt idx="14">
                  <c:v>1.2</c:v>
                </c:pt>
                <c:pt idx="15">
                  <c:v>1.2</c:v>
                </c:pt>
                <c:pt idx="16">
                  <c:v>1.2</c:v>
                </c:pt>
                <c:pt idx="17">
                  <c:v>1.3</c:v>
                </c:pt>
                <c:pt idx="18">
                  <c:v>1.3</c:v>
                </c:pt>
                <c:pt idx="19">
                  <c:v>1.3</c:v>
                </c:pt>
                <c:pt idx="20">
                  <c:v>1.4</c:v>
                </c:pt>
                <c:pt idx="21">
                  <c:v>1.4</c:v>
                </c:pt>
                <c:pt idx="22">
                  <c:v>1.5</c:v>
                </c:pt>
                <c:pt idx="23">
                  <c:v>1.6</c:v>
                </c:pt>
                <c:pt idx="24">
                  <c:v>1.4</c:v>
                </c:pt>
                <c:pt idx="25">
                  <c:v>1.4</c:v>
                </c:pt>
                <c:pt idx="26">
                  <c:v>1.6</c:v>
                </c:pt>
                <c:pt idx="27">
                  <c:v>1.6</c:v>
                </c:pt>
                <c:pt idx="28">
                  <c:v>1.4</c:v>
                </c:pt>
                <c:pt idx="29">
                  <c:v>1.4</c:v>
                </c:pt>
                <c:pt idx="30">
                  <c:v>1.5</c:v>
                </c:pt>
                <c:pt idx="31">
                  <c:v>1.5</c:v>
                </c:pt>
                <c:pt idx="32">
                  <c:v>1.5</c:v>
                </c:pt>
                <c:pt idx="33">
                  <c:v>1.4</c:v>
                </c:pt>
                <c:pt idx="34">
                  <c:v>1.3</c:v>
                </c:pt>
                <c:pt idx="35">
                  <c:v>1.2</c:v>
                </c:pt>
                <c:pt idx="36">
                  <c:v>1.2</c:v>
                </c:pt>
                <c:pt idx="37">
                  <c:v>1.2</c:v>
                </c:pt>
                <c:pt idx="38">
                  <c:v>1.2</c:v>
                </c:pt>
                <c:pt idx="39">
                  <c:v>1.3</c:v>
                </c:pt>
                <c:pt idx="40">
                  <c:v>1</c:v>
                </c:pt>
                <c:pt idx="41">
                  <c:v>1</c:v>
                </c:pt>
                <c:pt idx="42">
                  <c:v>1</c:v>
                </c:pt>
                <c:pt idx="43">
                  <c:v>1.1000000000000001</c:v>
                </c:pt>
                <c:pt idx="44">
                  <c:v>1.1000000000000001</c:v>
                </c:pt>
                <c:pt idx="45">
                  <c:v>1.1000000000000001</c:v>
                </c:pt>
                <c:pt idx="46">
                  <c:v>1.1000000000000001</c:v>
                </c:pt>
                <c:pt idx="47">
                  <c:v>1.2</c:v>
                </c:pt>
                <c:pt idx="48">
                  <c:v>1.3</c:v>
                </c:pt>
                <c:pt idx="49">
                  <c:v>1.3</c:v>
                </c:pt>
                <c:pt idx="50">
                  <c:v>1.3</c:v>
                </c:pt>
                <c:pt idx="51">
                  <c:v>1.2</c:v>
                </c:pt>
                <c:pt idx="52">
                  <c:v>1.1000000000000001</c:v>
                </c:pt>
                <c:pt idx="53">
                  <c:v>1.2</c:v>
                </c:pt>
                <c:pt idx="54">
                  <c:v>1.2</c:v>
                </c:pt>
                <c:pt idx="55">
                  <c:v>1.3</c:v>
                </c:pt>
                <c:pt idx="56">
                  <c:v>1.2</c:v>
                </c:pt>
                <c:pt idx="57">
                  <c:v>1.3</c:v>
                </c:pt>
                <c:pt idx="58">
                  <c:v>1.3</c:v>
                </c:pt>
                <c:pt idx="59">
                  <c:v>1.3</c:v>
                </c:pt>
                <c:pt idx="60">
                  <c:v>1.3886865742430408</c:v>
                </c:pt>
                <c:pt idx="61">
                  <c:v>1.4034632518440808</c:v>
                </c:pt>
                <c:pt idx="62">
                  <c:v>1.4345974276434392</c:v>
                </c:pt>
                <c:pt idx="63">
                  <c:v>1.4942131325275043</c:v>
                </c:pt>
                <c:pt idx="64">
                  <c:v>1.6618231743945231</c:v>
                </c:pt>
                <c:pt idx="65">
                  <c:v>1.9966759993120826</c:v>
                </c:pt>
                <c:pt idx="66">
                  <c:v>2.0191129092507412</c:v>
                </c:pt>
                <c:pt idx="67">
                  <c:v>2.0633176231097594</c:v>
                </c:pt>
                <c:pt idx="68">
                  <c:v>2.4205510654521762</c:v>
                </c:pt>
              </c:numCache>
            </c:numRef>
          </c:val>
          <c:smooth val="0"/>
          <c:extLst>
            <c:ext xmlns:c16="http://schemas.microsoft.com/office/drawing/2014/chart" uri="{C3380CC4-5D6E-409C-BE32-E72D297353CC}">
              <c16:uniqueId val="{00000000-21B1-4484-B88C-C349810584BA}"/>
            </c:ext>
          </c:extLst>
        </c:ser>
        <c:ser>
          <c:idx val="0"/>
          <c:order val="1"/>
          <c:tx>
            <c:strRef>
              <c:f>'17.C'!$S$1</c:f>
              <c:strCache>
                <c:ptCount val="1"/>
                <c:pt idx="0">
                  <c:v> Urea Index </c:v>
                </c:pt>
              </c:strCache>
            </c:strRef>
          </c:tx>
          <c:spPr>
            <a:ln w="76200">
              <a:solidFill>
                <a:schemeClr val="accent2"/>
              </a:solidFill>
            </a:ln>
          </c:spPr>
          <c:marker>
            <c:symbol val="none"/>
          </c:marker>
          <c:cat>
            <c:numRef>
              <c:f>'17.C'!$Q$2:$Q$121</c:f>
              <c:numCache>
                <c:formatCode>[$-409]mmm\-yy;@</c:formatCode>
                <c:ptCount val="12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45598</c:v>
                </c:pt>
                <c:pt idx="59">
                  <c:v>45630</c:v>
                </c:pt>
                <c:pt idx="60">
                  <c:v>45662</c:v>
                </c:pt>
                <c:pt idx="61">
                  <c:v>45694</c:v>
                </c:pt>
                <c:pt idx="62">
                  <c:v>45726</c:v>
                </c:pt>
                <c:pt idx="63">
                  <c:v>45758</c:v>
                </c:pt>
                <c:pt idx="64">
                  <c:v>45790</c:v>
                </c:pt>
                <c:pt idx="65">
                  <c:v>45822</c:v>
                </c:pt>
                <c:pt idx="66">
                  <c:v>45854</c:v>
                </c:pt>
                <c:pt idx="67">
                  <c:v>45886</c:v>
                </c:pt>
                <c:pt idx="68">
                  <c:v>45918</c:v>
                </c:pt>
              </c:numCache>
            </c:numRef>
          </c:cat>
          <c:val>
            <c:numRef>
              <c:f>'17.C'!$S$2:$S$121</c:f>
              <c:numCache>
                <c:formatCode>0.00</c:formatCode>
                <c:ptCount val="120"/>
                <c:pt idx="0">
                  <c:v>0.8</c:v>
                </c:pt>
                <c:pt idx="1">
                  <c:v>0.9</c:v>
                </c:pt>
                <c:pt idx="2">
                  <c:v>1</c:v>
                </c:pt>
                <c:pt idx="3">
                  <c:v>1</c:v>
                </c:pt>
                <c:pt idx="4">
                  <c:v>0.9</c:v>
                </c:pt>
                <c:pt idx="5">
                  <c:v>0.8</c:v>
                </c:pt>
                <c:pt idx="6">
                  <c:v>0.9</c:v>
                </c:pt>
                <c:pt idx="7">
                  <c:v>1</c:v>
                </c:pt>
                <c:pt idx="8">
                  <c:v>1</c:v>
                </c:pt>
                <c:pt idx="9">
                  <c:v>0.9</c:v>
                </c:pt>
                <c:pt idx="10">
                  <c:v>0.9</c:v>
                </c:pt>
                <c:pt idx="11">
                  <c:v>0.8</c:v>
                </c:pt>
                <c:pt idx="12">
                  <c:v>0.9</c:v>
                </c:pt>
                <c:pt idx="13">
                  <c:v>1.1000000000000001</c:v>
                </c:pt>
                <c:pt idx="14">
                  <c:v>1.1000000000000001</c:v>
                </c:pt>
                <c:pt idx="15">
                  <c:v>1</c:v>
                </c:pt>
                <c:pt idx="16">
                  <c:v>1</c:v>
                </c:pt>
                <c:pt idx="17">
                  <c:v>1.2</c:v>
                </c:pt>
                <c:pt idx="18">
                  <c:v>1.3</c:v>
                </c:pt>
                <c:pt idx="19">
                  <c:v>1.3</c:v>
                </c:pt>
                <c:pt idx="20">
                  <c:v>1.3</c:v>
                </c:pt>
                <c:pt idx="21">
                  <c:v>2.1</c:v>
                </c:pt>
                <c:pt idx="22">
                  <c:v>2.7</c:v>
                </c:pt>
                <c:pt idx="23">
                  <c:v>2.7</c:v>
                </c:pt>
                <c:pt idx="24">
                  <c:v>2.4</c:v>
                </c:pt>
                <c:pt idx="25">
                  <c:v>2</c:v>
                </c:pt>
                <c:pt idx="26">
                  <c:v>2.1</c:v>
                </c:pt>
                <c:pt idx="27">
                  <c:v>2.2000000000000002</c:v>
                </c:pt>
                <c:pt idx="28">
                  <c:v>1.7</c:v>
                </c:pt>
                <c:pt idx="29">
                  <c:v>1.8</c:v>
                </c:pt>
                <c:pt idx="30">
                  <c:v>1.7</c:v>
                </c:pt>
                <c:pt idx="31">
                  <c:v>1.7</c:v>
                </c:pt>
                <c:pt idx="32">
                  <c:v>1.9</c:v>
                </c:pt>
                <c:pt idx="33">
                  <c:v>1.8</c:v>
                </c:pt>
                <c:pt idx="34">
                  <c:v>1.7</c:v>
                </c:pt>
                <c:pt idx="35">
                  <c:v>1.5</c:v>
                </c:pt>
                <c:pt idx="36">
                  <c:v>1.3</c:v>
                </c:pt>
                <c:pt idx="37">
                  <c:v>1</c:v>
                </c:pt>
                <c:pt idx="38">
                  <c:v>0.9</c:v>
                </c:pt>
                <c:pt idx="39">
                  <c:v>0.9</c:v>
                </c:pt>
                <c:pt idx="40">
                  <c:v>1</c:v>
                </c:pt>
                <c:pt idx="41">
                  <c:v>0.9</c:v>
                </c:pt>
                <c:pt idx="42">
                  <c:v>1</c:v>
                </c:pt>
                <c:pt idx="43">
                  <c:v>1.2</c:v>
                </c:pt>
                <c:pt idx="44">
                  <c:v>1.1000000000000001</c:v>
                </c:pt>
                <c:pt idx="45">
                  <c:v>1.2</c:v>
                </c:pt>
                <c:pt idx="46">
                  <c:v>1.2</c:v>
                </c:pt>
                <c:pt idx="47">
                  <c:v>1.1000000000000001</c:v>
                </c:pt>
                <c:pt idx="48">
                  <c:v>1</c:v>
                </c:pt>
                <c:pt idx="49">
                  <c:v>1.1000000000000001</c:v>
                </c:pt>
                <c:pt idx="50">
                  <c:v>1</c:v>
                </c:pt>
                <c:pt idx="51">
                  <c:v>1</c:v>
                </c:pt>
                <c:pt idx="52">
                  <c:v>0.9</c:v>
                </c:pt>
                <c:pt idx="53">
                  <c:v>1.1000000000000001</c:v>
                </c:pt>
                <c:pt idx="54">
                  <c:v>1.1000000000000001</c:v>
                </c:pt>
                <c:pt idx="55">
                  <c:v>1.1000000000000001</c:v>
                </c:pt>
                <c:pt idx="56">
                  <c:v>1.1000000000000001</c:v>
                </c:pt>
                <c:pt idx="57">
                  <c:v>1.2</c:v>
                </c:pt>
                <c:pt idx="58">
                  <c:v>1.1000000000000001</c:v>
                </c:pt>
                <c:pt idx="59">
                  <c:v>1.1000000000000001</c:v>
                </c:pt>
                <c:pt idx="60">
                  <c:v>1.2288309662227705</c:v>
                </c:pt>
                <c:pt idx="61">
                  <c:v>1.4168881369985828</c:v>
                </c:pt>
                <c:pt idx="62">
                  <c:v>1.3147895961000784</c:v>
                </c:pt>
                <c:pt idx="63">
                  <c:v>1.29559211856958</c:v>
                </c:pt>
                <c:pt idx="64">
                  <c:v>1.3373145282452221</c:v>
                </c:pt>
                <c:pt idx="65">
                  <c:v>1.4554837641760252</c:v>
                </c:pt>
                <c:pt idx="66">
                  <c:v>1.6996602889323229</c:v>
                </c:pt>
                <c:pt idx="67">
                  <c:v>1.7566546013276101</c:v>
                </c:pt>
                <c:pt idx="68">
                  <c:v>1.5894743896084111</c:v>
                </c:pt>
              </c:numCache>
            </c:numRef>
          </c:val>
          <c:smooth val="0"/>
          <c:extLst>
            <c:ext xmlns:c16="http://schemas.microsoft.com/office/drawing/2014/chart" uri="{C3380CC4-5D6E-409C-BE32-E72D297353CC}">
              <c16:uniqueId val="{00000001-21B1-4484-B88C-C349810584BA}"/>
            </c:ext>
          </c:extLst>
        </c:ser>
        <c:dLbls>
          <c:showLegendKey val="0"/>
          <c:showVal val="0"/>
          <c:showCatName val="0"/>
          <c:showSerName val="0"/>
          <c:showPercent val="0"/>
          <c:showBubbleSize val="0"/>
        </c:dLbls>
        <c:marker val="1"/>
        <c:smooth val="0"/>
        <c:axId val="48773376"/>
        <c:axId val="48979968"/>
      </c:lineChart>
      <c:lineChart>
        <c:grouping val="standard"/>
        <c:varyColors val="0"/>
        <c:ser>
          <c:idx val="2"/>
          <c:order val="2"/>
          <c:tx>
            <c:strRef>
              <c:f>'17.C'!$T$1</c:f>
              <c:strCache>
                <c:ptCount val="1"/>
                <c:pt idx="0">
                  <c:v> MOP Index </c:v>
                </c:pt>
              </c:strCache>
            </c:strRef>
          </c:tx>
          <c:spPr>
            <a:ln w="76200">
              <a:solidFill>
                <a:schemeClr val="accent3"/>
              </a:solidFill>
            </a:ln>
          </c:spPr>
          <c:marker>
            <c:symbol val="none"/>
          </c:marker>
          <c:cat>
            <c:numRef>
              <c:f>'17.C'!$Q$2:$Q$121</c:f>
              <c:numCache>
                <c:formatCode>[$-409]mmm\-yy;@</c:formatCode>
                <c:ptCount val="12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45598</c:v>
                </c:pt>
                <c:pt idx="59">
                  <c:v>45630</c:v>
                </c:pt>
                <c:pt idx="60">
                  <c:v>45662</c:v>
                </c:pt>
                <c:pt idx="61">
                  <c:v>45694</c:v>
                </c:pt>
                <c:pt idx="62">
                  <c:v>45726</c:v>
                </c:pt>
                <c:pt idx="63">
                  <c:v>45758</c:v>
                </c:pt>
                <c:pt idx="64">
                  <c:v>45790</c:v>
                </c:pt>
                <c:pt idx="65">
                  <c:v>45822</c:v>
                </c:pt>
                <c:pt idx="66">
                  <c:v>45854</c:v>
                </c:pt>
                <c:pt idx="67">
                  <c:v>45886</c:v>
                </c:pt>
                <c:pt idx="68">
                  <c:v>45918</c:v>
                </c:pt>
              </c:numCache>
            </c:numRef>
          </c:cat>
          <c:val>
            <c:numRef>
              <c:f>'17.C'!$T$2:$T$121</c:f>
              <c:numCache>
                <c:formatCode>0.00</c:formatCode>
                <c:ptCount val="120"/>
                <c:pt idx="0">
                  <c:v>0.7</c:v>
                </c:pt>
                <c:pt idx="1">
                  <c:v>0.7</c:v>
                </c:pt>
                <c:pt idx="2">
                  <c:v>0.7</c:v>
                </c:pt>
                <c:pt idx="3">
                  <c:v>0.7</c:v>
                </c:pt>
                <c:pt idx="4">
                  <c:v>0.7</c:v>
                </c:pt>
                <c:pt idx="5">
                  <c:v>0.6</c:v>
                </c:pt>
                <c:pt idx="6">
                  <c:v>0.7</c:v>
                </c:pt>
                <c:pt idx="7">
                  <c:v>0.7</c:v>
                </c:pt>
                <c:pt idx="8">
                  <c:v>0.7</c:v>
                </c:pt>
                <c:pt idx="9">
                  <c:v>0.7</c:v>
                </c:pt>
                <c:pt idx="10">
                  <c:v>0.6</c:v>
                </c:pt>
                <c:pt idx="11">
                  <c:v>0.6</c:v>
                </c:pt>
                <c:pt idx="12">
                  <c:v>0.6</c:v>
                </c:pt>
                <c:pt idx="13">
                  <c:v>0.6</c:v>
                </c:pt>
                <c:pt idx="14">
                  <c:v>0.7</c:v>
                </c:pt>
                <c:pt idx="15">
                  <c:v>0.7</c:v>
                </c:pt>
                <c:pt idx="16">
                  <c:v>0.7</c:v>
                </c:pt>
                <c:pt idx="17">
                  <c:v>0.9</c:v>
                </c:pt>
                <c:pt idx="18">
                  <c:v>1.3</c:v>
                </c:pt>
                <c:pt idx="19">
                  <c:v>1.4</c:v>
                </c:pt>
                <c:pt idx="20">
                  <c:v>1.5</c:v>
                </c:pt>
                <c:pt idx="21">
                  <c:v>1.6</c:v>
                </c:pt>
                <c:pt idx="22">
                  <c:v>1.7</c:v>
                </c:pt>
                <c:pt idx="23">
                  <c:v>1.7</c:v>
                </c:pt>
                <c:pt idx="24">
                  <c:v>1.5</c:v>
                </c:pt>
                <c:pt idx="25">
                  <c:v>1.5</c:v>
                </c:pt>
                <c:pt idx="26">
                  <c:v>1.6</c:v>
                </c:pt>
                <c:pt idx="27">
                  <c:v>2</c:v>
                </c:pt>
                <c:pt idx="28">
                  <c:v>1.9</c:v>
                </c:pt>
                <c:pt idx="29">
                  <c:v>1.9</c:v>
                </c:pt>
                <c:pt idx="30">
                  <c:v>1.9</c:v>
                </c:pt>
                <c:pt idx="31">
                  <c:v>1.7</c:v>
                </c:pt>
                <c:pt idx="32">
                  <c:v>1.4</c:v>
                </c:pt>
                <c:pt idx="33">
                  <c:v>1.2</c:v>
                </c:pt>
                <c:pt idx="34">
                  <c:v>1.1000000000000001</c:v>
                </c:pt>
                <c:pt idx="35">
                  <c:v>1</c:v>
                </c:pt>
                <c:pt idx="36">
                  <c:v>1</c:v>
                </c:pt>
                <c:pt idx="37">
                  <c:v>1</c:v>
                </c:pt>
                <c:pt idx="38">
                  <c:v>0.9</c:v>
                </c:pt>
                <c:pt idx="39">
                  <c:v>0.8</c:v>
                </c:pt>
                <c:pt idx="40">
                  <c:v>0.7</c:v>
                </c:pt>
                <c:pt idx="41">
                  <c:v>0.7</c:v>
                </c:pt>
                <c:pt idx="42">
                  <c:v>0.7</c:v>
                </c:pt>
                <c:pt idx="43">
                  <c:v>0.7</c:v>
                </c:pt>
                <c:pt idx="44">
                  <c:v>0.7</c:v>
                </c:pt>
                <c:pt idx="45">
                  <c:v>0.7</c:v>
                </c:pt>
                <c:pt idx="46">
                  <c:v>0.7</c:v>
                </c:pt>
                <c:pt idx="47">
                  <c:v>0.7</c:v>
                </c:pt>
                <c:pt idx="48">
                  <c:v>0.6</c:v>
                </c:pt>
                <c:pt idx="49">
                  <c:v>0.6</c:v>
                </c:pt>
                <c:pt idx="50">
                  <c:v>0.6</c:v>
                </c:pt>
                <c:pt idx="51">
                  <c:v>0.7</c:v>
                </c:pt>
                <c:pt idx="52">
                  <c:v>0.7</c:v>
                </c:pt>
                <c:pt idx="53">
                  <c:v>0.7</c:v>
                </c:pt>
                <c:pt idx="54">
                  <c:v>0.7</c:v>
                </c:pt>
                <c:pt idx="55">
                  <c:v>0.7</c:v>
                </c:pt>
                <c:pt idx="56">
                  <c:v>0.6</c:v>
                </c:pt>
                <c:pt idx="57">
                  <c:v>0.6</c:v>
                </c:pt>
                <c:pt idx="58">
                  <c:v>0.6</c:v>
                </c:pt>
                <c:pt idx="59">
                  <c:v>0.6</c:v>
                </c:pt>
                <c:pt idx="60">
                  <c:v>0.66753428789613889</c:v>
                </c:pt>
                <c:pt idx="61">
                  <c:v>0.70815880421991795</c:v>
                </c:pt>
                <c:pt idx="62">
                  <c:v>0.76700941281318347</c:v>
                </c:pt>
                <c:pt idx="63">
                  <c:v>0.80652113179261009</c:v>
                </c:pt>
                <c:pt idx="64">
                  <c:v>0.84641754279352699</c:v>
                </c:pt>
                <c:pt idx="65">
                  <c:v>0.86026577296853413</c:v>
                </c:pt>
                <c:pt idx="66">
                  <c:v>0.85019316930393096</c:v>
                </c:pt>
                <c:pt idx="67">
                  <c:v>0.84424383465789643</c:v>
                </c:pt>
                <c:pt idx="68">
                  <c:v>0.83160755879393722</c:v>
                </c:pt>
              </c:numCache>
            </c:numRef>
          </c:val>
          <c:smooth val="0"/>
          <c:extLst>
            <c:ext xmlns:c16="http://schemas.microsoft.com/office/drawing/2014/chart" uri="{C3380CC4-5D6E-409C-BE32-E72D297353CC}">
              <c16:uniqueId val="{00000002-21B1-4484-B88C-C349810584BA}"/>
            </c:ext>
          </c:extLst>
        </c:ser>
        <c:dLbls>
          <c:showLegendKey val="0"/>
          <c:showVal val="0"/>
          <c:showCatName val="0"/>
          <c:showSerName val="0"/>
          <c:showPercent val="0"/>
          <c:showBubbleSize val="0"/>
        </c:dLbls>
        <c:marker val="1"/>
        <c:smooth val="0"/>
        <c:axId val="48983424"/>
        <c:axId val="48981504"/>
      </c:lineChart>
      <c:dateAx>
        <c:axId val="48773376"/>
        <c:scaling>
          <c:orientation val="minMax"/>
          <c:max val="45901"/>
          <c:min val="43831"/>
        </c:scaling>
        <c:delete val="0"/>
        <c:axPos val="b"/>
        <c:numFmt formatCode="[$-409]mmm\-yy;@" sourceLinked="1"/>
        <c:majorTickMark val="none"/>
        <c:minorTickMark val="none"/>
        <c:tickLblPos val="low"/>
        <c:spPr>
          <a:noFill/>
          <a:ln w="9525" cap="flat" cmpd="sng" algn="ctr">
            <a:solidFill>
              <a:srgbClr val="000000">
                <a:lumMod val="100000"/>
              </a:srgbClr>
            </a:solidFill>
            <a:prstDash val="solid"/>
            <a:round/>
            <a:headEnd type="none" w="med" len="med"/>
            <a:tailEnd type="none" w="med" len="med"/>
          </a:ln>
          <a:effectLst/>
        </c:spPr>
        <c:txPr>
          <a:bodyPr rot="-5400000" vert="horz"/>
          <a:lstStyle/>
          <a:p>
            <a:pPr>
              <a:defRPr/>
            </a:pPr>
            <a:endParaRPr lang="en-US"/>
          </a:p>
        </c:txPr>
        <c:crossAx val="48979968"/>
        <c:crosses val="autoZero"/>
        <c:auto val="1"/>
        <c:lblOffset val="100"/>
        <c:baseTimeUnit val="months"/>
        <c:majorUnit val="207"/>
        <c:majorTimeUnit val="days"/>
      </c:dateAx>
      <c:valAx>
        <c:axId val="48979968"/>
        <c:scaling>
          <c:orientation val="minMax"/>
          <c:min val="0"/>
        </c:scaling>
        <c:delete val="0"/>
        <c:axPos val="l"/>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olidFill>
                <a:prstDash val="solid"/>
                <a:round/>
              </a14:hiddenLine>
            </a:ext>
          </a:extLst>
        </c:spPr>
        <c:txPr>
          <a:bodyPr rot="-60000000" vert="horz"/>
          <a:lstStyle/>
          <a:p>
            <a:pPr>
              <a:defRPr/>
            </a:pPr>
            <a:endParaRPr lang="en-US"/>
          </a:p>
        </c:txPr>
        <c:crossAx val="48773376"/>
        <c:crosses val="autoZero"/>
        <c:crossBetween val="midCat"/>
      </c:valAx>
      <c:valAx>
        <c:axId val="48981504"/>
        <c:scaling>
          <c:orientation val="minMax"/>
          <c:max val="170"/>
          <c:min val="30"/>
        </c:scaling>
        <c:delete val="1"/>
        <c:axPos val="r"/>
        <c:numFmt formatCode="0" sourceLinked="0"/>
        <c:majorTickMark val="none"/>
        <c:minorTickMark val="none"/>
        <c:tickLblPos val="none"/>
        <c:crossAx val="48983424"/>
        <c:crosses val="max"/>
        <c:crossBetween val="between"/>
      </c:valAx>
      <c:dateAx>
        <c:axId val="48983424"/>
        <c:scaling>
          <c:orientation val="minMax"/>
        </c:scaling>
        <c:delete val="1"/>
        <c:axPos val="b"/>
        <c:numFmt formatCode="[$-409]mmm\-yy;@" sourceLinked="1"/>
        <c:majorTickMark val="out"/>
        <c:minorTickMark val="none"/>
        <c:tickLblPos val="none"/>
        <c:crossAx val="48981504"/>
        <c:crosses val="autoZero"/>
        <c:auto val="1"/>
        <c:lblOffset val="100"/>
        <c:baseTimeUnit val="days"/>
      </c:dateAx>
      <c:spPr>
        <a:noFill/>
        <a:ln>
          <a:noFill/>
        </a:ln>
        <a:effectLst/>
      </c:spPr>
    </c:plotArea>
    <c:legend>
      <c:legendPos val="t"/>
      <c:layout>
        <c:manualLayout>
          <c:xMode val="edge"/>
          <c:yMode val="edge"/>
          <c:x val="5.6754025149841354E-2"/>
          <c:y val="4.9027462497312775E-2"/>
          <c:w val="0.94208672353455813"/>
          <c:h val="0.12738150513617663"/>
        </c:manualLayout>
      </c:layout>
      <c:overlay val="1"/>
    </c:legend>
    <c:plotVisOnly val="1"/>
    <c:dispBlanksAs val="gap"/>
    <c:showDLblsOverMax val="0"/>
  </c:chart>
  <c:spPr>
    <a:solidFill>
      <a:srgbClr val="FFFFFF">
        <a:lumMod val="100000"/>
      </a:srgbClr>
    </a:solidFill>
    <a:ln w="9525" cap="flat" cmpd="sng" algn="ctr">
      <a:noFill/>
      <a:round/>
    </a:ln>
    <a:effectLst/>
  </c:spPr>
  <c:txPr>
    <a:bodyPr/>
    <a:lstStyle/>
    <a:p>
      <a:pPr>
        <a:defRPr sz="3200" b="0">
          <a:solidFill>
            <a:srgbClr val="000000">
              <a:lumMod val="100000"/>
            </a:srgbClr>
          </a:solidFill>
          <a:latin typeface="Arial" panose="020B0604020202020204" pitchFamily="34" charset="0"/>
          <a:cs typeface="Arial" panose="020B0604020202020204" pitchFamily="34" charset="0"/>
        </a:defRPr>
      </a:pPr>
      <a:endParaRPr lang="en-US"/>
    </a:p>
  </c:txPr>
  <c:printSettings>
    <c:headerFooter/>
    <c:pageMargins b="0.7500000000000091" l="0.70000000000000062" r="0.70000000000000062" t="0.7500000000000091"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'16.D'!$R$4</c:f>
              <c:strCache>
                <c:ptCount val="1"/>
                <c:pt idx="0">
                  <c:v>2019-21 average</c:v>
                </c:pt>
              </c:strCache>
            </c:strRef>
          </c:tx>
          <c:spPr>
            <a:ln w="76200" cap="rnd">
              <a:solidFill>
                <a:srgbClr val="002345"/>
              </a:solidFill>
              <a:round/>
            </a:ln>
            <a:effectLst/>
          </c:spPr>
          <c:marker>
            <c:symbol val="none"/>
          </c:marker>
          <c:cat>
            <c:strRef>
              <c:f>'16.D'!$Q$5:$Q$16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'16.D'!$R$5:$R$16</c:f>
              <c:numCache>
                <c:formatCode>General</c:formatCode>
                <c:ptCount val="12"/>
                <c:pt idx="0">
                  <c:v>0.6</c:v>
                </c:pt>
                <c:pt idx="1">
                  <c:v>1.1000000000000001</c:v>
                </c:pt>
                <c:pt idx="2">
                  <c:v>1.9</c:v>
                </c:pt>
                <c:pt idx="3">
                  <c:v>2.6</c:v>
                </c:pt>
                <c:pt idx="4">
                  <c:v>3.7</c:v>
                </c:pt>
                <c:pt idx="5">
                  <c:v>4.5999999999999996</c:v>
                </c:pt>
                <c:pt idx="6">
                  <c:v>5.7</c:v>
                </c:pt>
                <c:pt idx="7">
                  <c:v>6.7</c:v>
                </c:pt>
                <c:pt idx="8">
                  <c:v>8.1999999999999993</c:v>
                </c:pt>
                <c:pt idx="9">
                  <c:v>9.6</c:v>
                </c:pt>
                <c:pt idx="10">
                  <c:v>10.7</c:v>
                </c:pt>
                <c:pt idx="11">
                  <c:v>11.4</c:v>
                </c:pt>
              </c:numCache>
            </c:numRef>
          </c:val>
          <c:smooth val="0"/>
          <c:extLst>
            <c:ext xmlns:c16="http://schemas.microsoft.com/office/drawing/2014/chart" uri="{C3380CC4-5D6E-409C-BE32-E72D297353CC}">
              <c16:uniqueId val="{00000000-FA30-4B3E-8F3E-6EFE83DA479A}"/>
            </c:ext>
          </c:extLst>
        </c:ser>
        <c:ser>
          <c:idx val="1"/>
          <c:order val="1"/>
          <c:tx>
            <c:strRef>
              <c:f>'16.D'!$S$4</c:f>
              <c:strCache>
                <c:ptCount val="1"/>
                <c:pt idx="0">
                  <c:v>2022</c:v>
                </c:pt>
              </c:strCache>
            </c:strRef>
          </c:tx>
          <c:spPr>
            <a:ln w="76200" cap="rnd">
              <a:solidFill>
                <a:srgbClr val="EB1C2D"/>
              </a:solidFill>
              <a:round/>
            </a:ln>
            <a:effectLst/>
          </c:spPr>
          <c:marker>
            <c:symbol val="none"/>
          </c:marker>
          <c:cat>
            <c:strRef>
              <c:f>'16.D'!$Q$5:$Q$16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'16.D'!$S$5:$S$16</c:f>
              <c:numCache>
                <c:formatCode>General</c:formatCode>
                <c:ptCount val="12"/>
                <c:pt idx="0">
                  <c:v>0.3</c:v>
                </c:pt>
                <c:pt idx="1">
                  <c:v>0.6</c:v>
                </c:pt>
                <c:pt idx="2">
                  <c:v>1.1000000000000001</c:v>
                </c:pt>
                <c:pt idx="3">
                  <c:v>1.4</c:v>
                </c:pt>
                <c:pt idx="4">
                  <c:v>1.6</c:v>
                </c:pt>
                <c:pt idx="5">
                  <c:v>2</c:v>
                </c:pt>
                <c:pt idx="6">
                  <c:v>2.5</c:v>
                </c:pt>
                <c:pt idx="7">
                  <c:v>3.4</c:v>
                </c:pt>
                <c:pt idx="8">
                  <c:v>4.2</c:v>
                </c:pt>
                <c:pt idx="9">
                  <c:v>5.0999999999999996</c:v>
                </c:pt>
                <c:pt idx="10">
                  <c:v>5.6</c:v>
                </c:pt>
                <c:pt idx="11">
                  <c:v>6.4</c:v>
                </c:pt>
              </c:numCache>
            </c:numRef>
          </c:val>
          <c:smooth val="0"/>
          <c:extLst>
            <c:ext xmlns:c16="http://schemas.microsoft.com/office/drawing/2014/chart" uri="{C3380CC4-5D6E-409C-BE32-E72D297353CC}">
              <c16:uniqueId val="{00000001-FA30-4B3E-8F3E-6EFE83DA479A}"/>
            </c:ext>
          </c:extLst>
        </c:ser>
        <c:ser>
          <c:idx val="2"/>
          <c:order val="2"/>
          <c:tx>
            <c:strRef>
              <c:f>'16.D'!$T$4</c:f>
              <c:strCache>
                <c:ptCount val="1"/>
                <c:pt idx="0">
                  <c:v>2023</c:v>
                </c:pt>
              </c:strCache>
            </c:strRef>
          </c:tx>
          <c:spPr>
            <a:ln w="76200" cap="rnd">
              <a:solidFill>
                <a:srgbClr val="F78D28"/>
              </a:solidFill>
              <a:round/>
            </a:ln>
            <a:effectLst/>
          </c:spPr>
          <c:marker>
            <c:symbol val="none"/>
          </c:marker>
          <c:cat>
            <c:strRef>
              <c:f>'16.D'!$Q$5:$Q$16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'16.D'!$T$5:$T$16</c:f>
              <c:numCache>
                <c:formatCode>General</c:formatCode>
                <c:ptCount val="12"/>
                <c:pt idx="0">
                  <c:v>0.5</c:v>
                </c:pt>
                <c:pt idx="1">
                  <c:v>0.8</c:v>
                </c:pt>
                <c:pt idx="2">
                  <c:v>1.2</c:v>
                </c:pt>
                <c:pt idx="3">
                  <c:v>1.6</c:v>
                </c:pt>
                <c:pt idx="4">
                  <c:v>2.2999999999999998</c:v>
                </c:pt>
                <c:pt idx="5">
                  <c:v>3.4</c:v>
                </c:pt>
                <c:pt idx="6">
                  <c:v>4.3</c:v>
                </c:pt>
                <c:pt idx="7">
                  <c:v>4.9000000000000004</c:v>
                </c:pt>
                <c:pt idx="8">
                  <c:v>6.4</c:v>
                </c:pt>
                <c:pt idx="9">
                  <c:v>7.4</c:v>
                </c:pt>
                <c:pt idx="10">
                  <c:v>8.6</c:v>
                </c:pt>
                <c:pt idx="11">
                  <c:v>9.3000000000000007</c:v>
                </c:pt>
              </c:numCache>
            </c:numRef>
          </c:val>
          <c:smooth val="0"/>
          <c:extLst>
            <c:ext xmlns:c16="http://schemas.microsoft.com/office/drawing/2014/chart" uri="{C3380CC4-5D6E-409C-BE32-E72D297353CC}">
              <c16:uniqueId val="{00000002-FA30-4B3E-8F3E-6EFE83DA479A}"/>
            </c:ext>
          </c:extLst>
        </c:ser>
        <c:ser>
          <c:idx val="3"/>
          <c:order val="3"/>
          <c:tx>
            <c:strRef>
              <c:f>'16.D'!$U$4</c:f>
              <c:strCache>
                <c:ptCount val="1"/>
                <c:pt idx="0">
                  <c:v>2024</c:v>
                </c:pt>
              </c:strCache>
            </c:strRef>
          </c:tx>
          <c:spPr>
            <a:ln w="76200" cap="rnd">
              <a:solidFill>
                <a:schemeClr val="accent5"/>
              </a:solidFill>
              <a:round/>
            </a:ln>
            <a:effectLst/>
          </c:spPr>
          <c:marker>
            <c:symbol val="none"/>
          </c:marker>
          <c:cat>
            <c:strRef>
              <c:f>'16.D'!$Q$5:$Q$16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'16.D'!$U$5:$U$16</c:f>
              <c:numCache>
                <c:formatCode>General</c:formatCode>
                <c:ptCount val="12"/>
                <c:pt idx="0">
                  <c:v>0.12</c:v>
                </c:pt>
                <c:pt idx="1">
                  <c:v>0.14000000000000001</c:v>
                </c:pt>
                <c:pt idx="2">
                  <c:v>0.17</c:v>
                </c:pt>
                <c:pt idx="3">
                  <c:v>0.56999999999999995</c:v>
                </c:pt>
                <c:pt idx="4">
                  <c:v>1.1000000000000001</c:v>
                </c:pt>
                <c:pt idx="5">
                  <c:v>1.65</c:v>
                </c:pt>
                <c:pt idx="6">
                  <c:v>2.2400000000000002</c:v>
                </c:pt>
                <c:pt idx="7">
                  <c:v>2.87</c:v>
                </c:pt>
                <c:pt idx="8">
                  <c:v>3.3050000000000002</c:v>
                </c:pt>
                <c:pt idx="9">
                  <c:v>3.74</c:v>
                </c:pt>
                <c:pt idx="10">
                  <c:v>4.6100000000000003</c:v>
                </c:pt>
                <c:pt idx="11">
                  <c:v>4.82</c:v>
                </c:pt>
              </c:numCache>
            </c:numRef>
          </c:val>
          <c:smooth val="0"/>
          <c:extLst>
            <c:ext xmlns:c16="http://schemas.microsoft.com/office/drawing/2014/chart" uri="{C3380CC4-5D6E-409C-BE32-E72D297353CC}">
              <c16:uniqueId val="{00000003-FA30-4B3E-8F3E-6EFE83DA479A}"/>
            </c:ext>
          </c:extLst>
        </c:ser>
        <c:dLbls>
          <c:showLegendKey val="0"/>
          <c:showVal val="0"/>
          <c:showCatName val="0"/>
          <c:showSerName val="0"/>
          <c:showPercent val="0"/>
          <c:showBubbleSize val="0"/>
        </c:dLbls>
        <c:smooth val="0"/>
        <c:axId val="1536714351"/>
        <c:axId val="1538723039"/>
      </c:lineChart>
      <c:catAx>
        <c:axId val="153671435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538723039"/>
        <c:crosses val="autoZero"/>
        <c:auto val="1"/>
        <c:lblAlgn val="ctr"/>
        <c:lblOffset val="100"/>
        <c:noMultiLvlLbl val="0"/>
      </c:catAx>
      <c:valAx>
        <c:axId val="1538723039"/>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536714351"/>
        <c:crosses val="autoZero"/>
        <c:crossBetween val="between"/>
      </c:valAx>
      <c:spPr>
        <a:noFill/>
        <a:ln>
          <a:noFill/>
        </a:ln>
        <a:effectLst/>
      </c:spPr>
    </c:plotArea>
    <c:legend>
      <c:legendPos val="t"/>
      <c:layout>
        <c:manualLayout>
          <c:xMode val="edge"/>
          <c:yMode val="edge"/>
          <c:x val="0.19081332020997377"/>
          <c:y val="9.6578885972586764E-2"/>
          <c:w val="0.80918667979002623"/>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84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3200"/>
              <a:t>Mt, millions</a:t>
            </a:r>
          </a:p>
        </c:rich>
      </c:tx>
      <c:layout>
        <c:manualLayout>
          <c:xMode val="edge"/>
          <c:yMode val="edge"/>
          <c:x val="6.9374453193350727E-3"/>
          <c:y val="0"/>
        </c:manualLayout>
      </c:layout>
      <c:overlay val="0"/>
      <c:spPr>
        <a:noFill/>
        <a:ln>
          <a:noFill/>
        </a:ln>
        <a:effectLst/>
      </c:spPr>
      <c:txPr>
        <a:bodyPr rot="0" spcFirstLastPara="1" vertOverflow="ellipsis" vert="horz" wrap="square" anchor="ctr" anchorCtr="1"/>
        <a:lstStyle/>
        <a:p>
          <a:pPr>
            <a:defRPr sz="384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1981408573928263E-2"/>
          <c:y val="0.12716666666666668"/>
          <c:w val="0.91274081364829396"/>
          <c:h val="0.76808661417322832"/>
        </c:manualLayout>
      </c:layout>
      <c:barChart>
        <c:barDir val="col"/>
        <c:grouping val="stacked"/>
        <c:varyColors val="0"/>
        <c:ser>
          <c:idx val="1"/>
          <c:order val="0"/>
          <c:tx>
            <c:strRef>
              <c:f>'16.D'!$X$10</c:f>
              <c:strCache>
                <c:ptCount val="1"/>
                <c:pt idx="0">
                  <c:v>DAP</c:v>
                </c:pt>
              </c:strCache>
            </c:strRef>
          </c:tx>
          <c:spPr>
            <a:solidFill>
              <a:schemeClr val="accent1"/>
            </a:solidFill>
            <a:ln>
              <a:noFill/>
            </a:ln>
            <a:effectLst/>
          </c:spPr>
          <c:invertIfNegative val="0"/>
          <c:cat>
            <c:numRef>
              <c:f>'16.D'!$Y$4:$AE$4</c:f>
              <c:numCache>
                <c:formatCode>General</c:formatCode>
                <c:ptCount val="7"/>
                <c:pt idx="0">
                  <c:v>2019</c:v>
                </c:pt>
                <c:pt idx="1">
                  <c:v>2020</c:v>
                </c:pt>
                <c:pt idx="2">
                  <c:v>2021</c:v>
                </c:pt>
                <c:pt idx="3">
                  <c:v>2022</c:v>
                </c:pt>
                <c:pt idx="4">
                  <c:v>2023</c:v>
                </c:pt>
                <c:pt idx="5">
                  <c:v>2024</c:v>
                </c:pt>
                <c:pt idx="6">
                  <c:v>2025</c:v>
                </c:pt>
              </c:numCache>
            </c:numRef>
          </c:cat>
          <c:val>
            <c:numRef>
              <c:f>'16.D'!$Y$10:$AE$10</c:f>
              <c:numCache>
                <c:formatCode>General</c:formatCode>
                <c:ptCount val="7"/>
                <c:pt idx="0">
                  <c:v>6.47</c:v>
                </c:pt>
                <c:pt idx="1">
                  <c:v>5.73</c:v>
                </c:pt>
                <c:pt idx="2">
                  <c:v>6.25</c:v>
                </c:pt>
                <c:pt idx="3">
                  <c:v>3.58</c:v>
                </c:pt>
                <c:pt idx="4">
                  <c:v>5.04</c:v>
                </c:pt>
                <c:pt idx="5">
                  <c:v>4.5599999999999996</c:v>
                </c:pt>
                <c:pt idx="6">
                  <c:v>16.87</c:v>
                </c:pt>
              </c:numCache>
            </c:numRef>
          </c:val>
          <c:extLst>
            <c:ext xmlns:c16="http://schemas.microsoft.com/office/drawing/2014/chart" uri="{C3380CC4-5D6E-409C-BE32-E72D297353CC}">
              <c16:uniqueId val="{00000000-595E-4612-8429-6DB95D010E5A}"/>
            </c:ext>
          </c:extLst>
        </c:ser>
        <c:ser>
          <c:idx val="0"/>
          <c:order val="1"/>
          <c:tx>
            <c:strRef>
              <c:f>'16.D'!$X$9</c:f>
              <c:strCache>
                <c:ptCount val="1"/>
                <c:pt idx="0">
                  <c:v>Urea</c:v>
                </c:pt>
              </c:strCache>
            </c:strRef>
          </c:tx>
          <c:spPr>
            <a:solidFill>
              <a:schemeClr val="accent2"/>
            </a:solidFill>
            <a:ln>
              <a:noFill/>
            </a:ln>
            <a:effectLst/>
          </c:spPr>
          <c:invertIfNegative val="0"/>
          <c:cat>
            <c:numRef>
              <c:f>'16.D'!$Y$4:$AE$4</c:f>
              <c:numCache>
                <c:formatCode>General</c:formatCode>
                <c:ptCount val="7"/>
                <c:pt idx="0">
                  <c:v>2019</c:v>
                </c:pt>
                <c:pt idx="1">
                  <c:v>2020</c:v>
                </c:pt>
                <c:pt idx="2">
                  <c:v>2021</c:v>
                </c:pt>
                <c:pt idx="3">
                  <c:v>2022</c:v>
                </c:pt>
                <c:pt idx="4">
                  <c:v>2023</c:v>
                </c:pt>
                <c:pt idx="5">
                  <c:v>2024</c:v>
                </c:pt>
                <c:pt idx="6">
                  <c:v>2025</c:v>
                </c:pt>
              </c:numCache>
            </c:numRef>
          </c:cat>
          <c:val>
            <c:numRef>
              <c:f>'16.D'!$Y$9:$AE$9</c:f>
              <c:numCache>
                <c:formatCode>General</c:formatCode>
                <c:ptCount val="7"/>
                <c:pt idx="0">
                  <c:v>4.9400000000000004</c:v>
                </c:pt>
                <c:pt idx="1">
                  <c:v>5.45</c:v>
                </c:pt>
                <c:pt idx="2">
                  <c:v>5.29</c:v>
                </c:pt>
                <c:pt idx="3">
                  <c:v>2.83</c:v>
                </c:pt>
                <c:pt idx="4">
                  <c:v>4.25</c:v>
                </c:pt>
                <c:pt idx="5">
                  <c:v>0.26</c:v>
                </c:pt>
                <c:pt idx="6">
                  <c:v>4.9000000000000004</c:v>
                </c:pt>
              </c:numCache>
            </c:numRef>
          </c:val>
          <c:extLst>
            <c:ext xmlns:c16="http://schemas.microsoft.com/office/drawing/2014/chart" uri="{C3380CC4-5D6E-409C-BE32-E72D297353CC}">
              <c16:uniqueId val="{00000001-595E-4612-8429-6DB95D010E5A}"/>
            </c:ext>
          </c:extLst>
        </c:ser>
        <c:dLbls>
          <c:showLegendKey val="0"/>
          <c:showVal val="0"/>
          <c:showCatName val="0"/>
          <c:showSerName val="0"/>
          <c:showPercent val="0"/>
          <c:showBubbleSize val="0"/>
        </c:dLbls>
        <c:gapWidth val="120"/>
        <c:overlap val="100"/>
        <c:axId val="1113486432"/>
        <c:axId val="1113490272"/>
      </c:barChart>
      <c:catAx>
        <c:axId val="11134864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13490272"/>
        <c:crosses val="autoZero"/>
        <c:auto val="1"/>
        <c:lblAlgn val="ctr"/>
        <c:lblOffset val="100"/>
        <c:noMultiLvlLbl val="0"/>
      </c:catAx>
      <c:valAx>
        <c:axId val="1113490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13486432"/>
        <c:crosses val="autoZero"/>
        <c:crossBetween val="between"/>
      </c:valAx>
      <c:spPr>
        <a:noFill/>
        <a:ln>
          <a:noFill/>
        </a:ln>
        <a:effectLst/>
      </c:spPr>
    </c:plotArea>
    <c:legend>
      <c:legendPos val="b"/>
      <c:layout>
        <c:manualLayout>
          <c:xMode val="edge"/>
          <c:yMode val="edge"/>
          <c:x val="0.62680129046369204"/>
          <c:y val="0.13445844269466312"/>
          <c:w val="0.33250853018372706"/>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'16.D'!$Q$5</c:f>
              <c:strCache>
                <c:ptCount val="1"/>
                <c:pt idx="0">
                  <c:v>Jan</c:v>
                </c:pt>
              </c:strCache>
            </c:strRef>
          </c:tx>
          <c:spPr>
            <a:solidFill>
              <a:schemeClr val="accent1"/>
            </a:solidFill>
            <a:ln>
              <a:noFill/>
            </a:ln>
            <a:effectLst/>
          </c:spPr>
          <c:invertIfNegative val="0"/>
          <c:cat>
            <c:strRef>
              <c:f>'16.D'!$R$4:$W$4</c:f>
              <c:strCache>
                <c:ptCount val="6"/>
                <c:pt idx="0">
                  <c:v>2019-21 average</c:v>
                </c:pt>
                <c:pt idx="1">
                  <c:v>2022</c:v>
                </c:pt>
                <c:pt idx="2">
                  <c:v>2023</c:v>
                </c:pt>
                <c:pt idx="3">
                  <c:v>2024</c:v>
                </c:pt>
                <c:pt idx="4">
                  <c:v>2025</c:v>
                </c:pt>
                <c:pt idx="5">
                  <c:v>2026</c:v>
                </c:pt>
              </c:strCache>
            </c:strRef>
          </c:cat>
          <c:val>
            <c:numRef>
              <c:f>'16.D'!$R$5:$W$5</c:f>
              <c:numCache>
                <c:formatCode>General</c:formatCode>
                <c:ptCount val="6"/>
                <c:pt idx="0">
                  <c:v>0.6</c:v>
                </c:pt>
                <c:pt idx="1">
                  <c:v>0.3</c:v>
                </c:pt>
                <c:pt idx="2">
                  <c:v>0.5</c:v>
                </c:pt>
                <c:pt idx="3">
                  <c:v>0.12</c:v>
                </c:pt>
                <c:pt idx="4">
                  <c:v>0.02</c:v>
                </c:pt>
                <c:pt idx="5">
                  <c:v>0.32</c:v>
                </c:pt>
              </c:numCache>
            </c:numRef>
          </c:val>
          <c:extLst>
            <c:ext xmlns:c16="http://schemas.microsoft.com/office/drawing/2014/chart" uri="{C3380CC4-5D6E-409C-BE32-E72D297353CC}">
              <c16:uniqueId val="{00000000-19C9-4A46-8EBF-A9B94711B0B9}"/>
            </c:ext>
          </c:extLst>
        </c:ser>
        <c:ser>
          <c:idx val="1"/>
          <c:order val="1"/>
          <c:tx>
            <c:strRef>
              <c:f>'16.D'!$Q$6</c:f>
              <c:strCache>
                <c:ptCount val="1"/>
                <c:pt idx="0">
                  <c:v>Feb</c:v>
                </c:pt>
              </c:strCache>
            </c:strRef>
          </c:tx>
          <c:spPr>
            <a:solidFill>
              <a:schemeClr val="accent2"/>
            </a:solidFill>
            <a:ln>
              <a:noFill/>
            </a:ln>
            <a:effectLst/>
          </c:spPr>
          <c:invertIfNegative val="0"/>
          <c:cat>
            <c:strRef>
              <c:f>'16.D'!$R$4:$W$4</c:f>
              <c:strCache>
                <c:ptCount val="6"/>
                <c:pt idx="0">
                  <c:v>2019-21 average</c:v>
                </c:pt>
                <c:pt idx="1">
                  <c:v>2022</c:v>
                </c:pt>
                <c:pt idx="2">
                  <c:v>2023</c:v>
                </c:pt>
                <c:pt idx="3">
                  <c:v>2024</c:v>
                </c:pt>
                <c:pt idx="4">
                  <c:v>2025</c:v>
                </c:pt>
                <c:pt idx="5">
                  <c:v>2026</c:v>
                </c:pt>
              </c:strCache>
            </c:strRef>
          </c:cat>
          <c:val>
            <c:numRef>
              <c:f>'16.D'!$R$6:$W$6</c:f>
              <c:numCache>
                <c:formatCode>General</c:formatCode>
                <c:ptCount val="6"/>
                <c:pt idx="0">
                  <c:v>1.1000000000000001</c:v>
                </c:pt>
                <c:pt idx="1">
                  <c:v>0.6</c:v>
                </c:pt>
                <c:pt idx="2">
                  <c:v>0.8</c:v>
                </c:pt>
                <c:pt idx="3">
                  <c:v>0.14000000000000001</c:v>
                </c:pt>
                <c:pt idx="4">
                  <c:v>0.09</c:v>
                </c:pt>
                <c:pt idx="5">
                  <c:v>0.12</c:v>
                </c:pt>
              </c:numCache>
            </c:numRef>
          </c:val>
          <c:extLst>
            <c:ext xmlns:c16="http://schemas.microsoft.com/office/drawing/2014/chart" uri="{C3380CC4-5D6E-409C-BE32-E72D297353CC}">
              <c16:uniqueId val="{00000001-19C9-4A46-8EBF-A9B94711B0B9}"/>
            </c:ext>
          </c:extLst>
        </c:ser>
        <c:dLbls>
          <c:showLegendKey val="0"/>
          <c:showVal val="0"/>
          <c:showCatName val="0"/>
          <c:showSerName val="0"/>
          <c:showPercent val="0"/>
          <c:showBubbleSize val="0"/>
        </c:dLbls>
        <c:gapWidth val="150"/>
        <c:overlap val="100"/>
        <c:axId val="1666254543"/>
        <c:axId val="1666251663"/>
      </c:barChart>
      <c:catAx>
        <c:axId val="166625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251663"/>
        <c:crosses val="autoZero"/>
        <c:auto val="1"/>
        <c:lblAlgn val="ctr"/>
        <c:lblOffset val="100"/>
        <c:noMultiLvlLbl val="0"/>
      </c:catAx>
      <c:valAx>
        <c:axId val="166625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254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'16.D'!$AK$40</c:f>
              <c:strCache>
                <c:ptCount val="1"/>
                <c:pt idx="0">
                  <c:v>Urea</c:v>
                </c:pt>
              </c:strCache>
            </c:strRef>
          </c:tx>
          <c:spPr>
            <a:solidFill>
              <a:srgbClr val="002345"/>
            </a:solidFill>
            <a:ln w="76200">
              <a:noFill/>
            </a:ln>
            <a:effectLst/>
          </c:spPr>
          <c:invertIfNegative val="0"/>
          <c:cat>
            <c:numRef>
              <c:f>'16.D'!$AL$39:$AR$39</c:f>
              <c:numCache>
                <c:formatCode>General</c:formatCode>
                <c:ptCount val="7"/>
                <c:pt idx="0">
                  <c:v>2019</c:v>
                </c:pt>
                <c:pt idx="1">
                  <c:v>2020</c:v>
                </c:pt>
                <c:pt idx="2">
                  <c:v>2021</c:v>
                </c:pt>
                <c:pt idx="3">
                  <c:v>2022</c:v>
                </c:pt>
                <c:pt idx="4">
                  <c:v>2023</c:v>
                </c:pt>
                <c:pt idx="5">
                  <c:v>2024</c:v>
                </c:pt>
                <c:pt idx="6">
                  <c:v>2025</c:v>
                </c:pt>
              </c:numCache>
            </c:numRef>
          </c:cat>
          <c:val>
            <c:numRef>
              <c:f>'16.D'!$AL$40:$AR$40</c:f>
              <c:numCache>
                <c:formatCode>General</c:formatCode>
                <c:ptCount val="7"/>
                <c:pt idx="0">
                  <c:v>4.96</c:v>
                </c:pt>
                <c:pt idx="1">
                  <c:v>5.4399999999999995</c:v>
                </c:pt>
                <c:pt idx="2">
                  <c:v>5.29</c:v>
                </c:pt>
                <c:pt idx="3">
                  <c:v>2.83</c:v>
                </c:pt>
                <c:pt idx="4">
                  <c:v>4.25</c:v>
                </c:pt>
                <c:pt idx="5">
                  <c:v>0.26</c:v>
                </c:pt>
                <c:pt idx="6">
                  <c:v>4.8899999999999997</c:v>
                </c:pt>
              </c:numCache>
            </c:numRef>
          </c:val>
          <c:extLst>
            <c:ext xmlns:c16="http://schemas.microsoft.com/office/drawing/2014/chart" uri="{C3380CC4-5D6E-409C-BE32-E72D297353CC}">
              <c16:uniqueId val="{00000000-9E48-46AA-9359-9709065A64D5}"/>
            </c:ext>
          </c:extLst>
        </c:ser>
        <c:ser>
          <c:idx val="1"/>
          <c:order val="1"/>
          <c:tx>
            <c:strRef>
              <c:f>'16.D'!$AK$41</c:f>
              <c:strCache>
                <c:ptCount val="1"/>
                <c:pt idx="0">
                  <c:v>DAP</c:v>
                </c:pt>
              </c:strCache>
            </c:strRef>
          </c:tx>
          <c:spPr>
            <a:solidFill>
              <a:srgbClr val="EB1C2D"/>
            </a:solidFill>
            <a:ln w="76200">
              <a:noFill/>
            </a:ln>
            <a:effectLst/>
          </c:spPr>
          <c:invertIfNegative val="0"/>
          <c:cat>
            <c:numRef>
              <c:f>'16.D'!$AL$39:$AR$39</c:f>
              <c:numCache>
                <c:formatCode>General</c:formatCode>
                <c:ptCount val="7"/>
                <c:pt idx="0">
                  <c:v>2019</c:v>
                </c:pt>
                <c:pt idx="1">
                  <c:v>2020</c:v>
                </c:pt>
                <c:pt idx="2">
                  <c:v>2021</c:v>
                </c:pt>
                <c:pt idx="3">
                  <c:v>2022</c:v>
                </c:pt>
                <c:pt idx="4">
                  <c:v>2023</c:v>
                </c:pt>
                <c:pt idx="5">
                  <c:v>2024</c:v>
                </c:pt>
                <c:pt idx="6">
                  <c:v>2025</c:v>
                </c:pt>
              </c:numCache>
            </c:numRef>
          </c:cat>
          <c:val>
            <c:numRef>
              <c:f>'16.D'!$AL$41:$AR$41</c:f>
              <c:numCache>
                <c:formatCode>General</c:formatCode>
                <c:ptCount val="7"/>
                <c:pt idx="0">
                  <c:v>6.49</c:v>
                </c:pt>
                <c:pt idx="1">
                  <c:v>5.7399999999999993</c:v>
                </c:pt>
                <c:pt idx="2">
                  <c:v>6.24</c:v>
                </c:pt>
                <c:pt idx="3">
                  <c:v>3.5799999999999996</c:v>
                </c:pt>
                <c:pt idx="4">
                  <c:v>2.04</c:v>
                </c:pt>
                <c:pt idx="5">
                  <c:v>4.5599999999999996</c:v>
                </c:pt>
                <c:pt idx="6">
                  <c:v>3.48</c:v>
                </c:pt>
              </c:numCache>
            </c:numRef>
          </c:val>
          <c:extLst>
            <c:ext xmlns:c16="http://schemas.microsoft.com/office/drawing/2014/chart" uri="{C3380CC4-5D6E-409C-BE32-E72D297353CC}">
              <c16:uniqueId val="{00000001-9E48-46AA-9359-9709065A64D5}"/>
            </c:ext>
          </c:extLst>
        </c:ser>
        <c:dLbls>
          <c:showLegendKey val="0"/>
          <c:showVal val="0"/>
          <c:showCatName val="0"/>
          <c:showSerName val="0"/>
          <c:showPercent val="0"/>
          <c:showBubbleSize val="0"/>
        </c:dLbls>
        <c:gapWidth val="150"/>
        <c:overlap val="100"/>
        <c:axId val="211891472"/>
        <c:axId val="211889072"/>
      </c:barChart>
      <c:catAx>
        <c:axId val="211891472"/>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11889072"/>
        <c:crosses val="autoZero"/>
        <c:auto val="1"/>
        <c:lblAlgn val="ctr"/>
        <c:lblOffset val="100"/>
        <c:noMultiLvlLbl val="0"/>
      </c:catAx>
      <c:valAx>
        <c:axId val="2118890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11891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085091751892587E-2"/>
          <c:y val="0.13136540897687474"/>
          <c:w val="0.88873376911280422"/>
          <c:h val="0.42300116652085151"/>
        </c:manualLayout>
      </c:layout>
      <c:barChart>
        <c:barDir val="col"/>
        <c:grouping val="clustered"/>
        <c:varyColors val="0"/>
        <c:ser>
          <c:idx val="0"/>
          <c:order val="0"/>
          <c:spPr>
            <a:solidFill>
              <a:schemeClr val="accent1"/>
            </a:solidFill>
            <a:ln>
              <a:noFill/>
            </a:ln>
            <a:effectLst/>
          </c:spPr>
          <c:invertIfNegative val="0"/>
          <c:cat>
            <c:multiLvlStrRef>
              <c:f>'18.E'!$K$3:$L$9</c:f>
              <c:multiLvlStrCache>
                <c:ptCount val="7"/>
                <c:lvl>
                  <c:pt idx="0">
                    <c:v>Urea</c:v>
                  </c:pt>
                  <c:pt idx="1">
                    <c:v>DAP/MAP</c:v>
                  </c:pt>
                  <c:pt idx="2">
                    <c:v>Potash</c:v>
                  </c:pt>
                  <c:pt idx="3">
                    <c:v>Ammonia</c:v>
                  </c:pt>
                  <c:pt idx="4">
                    <c:v>Sulphur</c:v>
                  </c:pt>
                  <c:pt idx="5">
                    <c:v>Natural gas</c:v>
                  </c:pt>
                  <c:pt idx="6">
                    <c:v>Phosphate
rock</c:v>
                  </c:pt>
                </c:lvl>
                <c:lvl>
                  <c:pt idx="0">
                    <c:v>Fertilizers</c:v>
                  </c:pt>
                  <c:pt idx="3">
                    <c:v>Feedstock</c:v>
                  </c:pt>
                </c:lvl>
              </c:multiLvlStrCache>
            </c:multiLvlStrRef>
          </c:cat>
          <c:val>
            <c:numRef>
              <c:f>'18.E'!$M$3:$M$9</c:f>
              <c:numCache>
                <c:formatCode>General</c:formatCode>
                <c:ptCount val="7"/>
                <c:pt idx="0">
                  <c:v>40.6</c:v>
                </c:pt>
                <c:pt idx="1">
                  <c:v>20.5</c:v>
                </c:pt>
                <c:pt idx="2">
                  <c:v>9.9</c:v>
                </c:pt>
                <c:pt idx="3">
                  <c:v>27.6</c:v>
                </c:pt>
                <c:pt idx="4">
                  <c:v>19.3</c:v>
                </c:pt>
                <c:pt idx="5">
                  <c:v>15.4</c:v>
                </c:pt>
                <c:pt idx="6">
                  <c:v>26.3</c:v>
                </c:pt>
              </c:numCache>
            </c:numRef>
          </c:val>
          <c:extLst>
            <c:ext xmlns:c16="http://schemas.microsoft.com/office/drawing/2014/chart" uri="{C3380CC4-5D6E-409C-BE32-E72D297353CC}">
              <c16:uniqueId val="{00000000-2A94-4C91-BCAE-B14F59C76ED1}"/>
            </c:ext>
          </c:extLst>
        </c:ser>
        <c:dLbls>
          <c:showLegendKey val="0"/>
          <c:showVal val="0"/>
          <c:showCatName val="0"/>
          <c:showSerName val="0"/>
          <c:showPercent val="0"/>
          <c:showBubbleSize val="0"/>
        </c:dLbls>
        <c:gapWidth val="150"/>
        <c:axId val="730047119"/>
        <c:axId val="730049519"/>
      </c:barChart>
      <c:catAx>
        <c:axId val="73004711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730049519"/>
        <c:crosses val="autoZero"/>
        <c:auto val="1"/>
        <c:lblAlgn val="ctr"/>
        <c:lblOffset val="100"/>
        <c:noMultiLvlLbl val="0"/>
      </c:catAx>
      <c:valAx>
        <c:axId val="730049519"/>
        <c:scaling>
          <c:orientation val="minMax"/>
          <c:max val="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30047119"/>
        <c:crosses val="autoZero"/>
        <c:crossBetween val="between"/>
        <c:majorUnit val="10"/>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752296587926508E-2"/>
          <c:y val="0.13321604333648757"/>
          <c:w val="0.91024770341207351"/>
          <c:h val="0.42356080540167362"/>
        </c:manualLayout>
      </c:layout>
      <c:barChart>
        <c:barDir val="col"/>
        <c:grouping val="clustered"/>
        <c:varyColors val="0"/>
        <c:ser>
          <c:idx val="0"/>
          <c:order val="0"/>
          <c:spPr>
            <a:solidFill>
              <a:schemeClr val="accent1"/>
            </a:solidFill>
            <a:ln>
              <a:noFill/>
            </a:ln>
            <a:effectLst/>
          </c:spPr>
          <c:invertIfNegative val="0"/>
          <c:cat>
            <c:multiLvlStrRef>
              <c:f>'18.F'!$P$3:$Q$9</c:f>
              <c:multiLvlStrCache>
                <c:ptCount val="7"/>
                <c:lvl>
                  <c:pt idx="0">
                    <c:v>Urea</c:v>
                  </c:pt>
                  <c:pt idx="1">
                    <c:v>DAP/MAP</c:v>
                  </c:pt>
                  <c:pt idx="2">
                    <c:v>Potash</c:v>
                  </c:pt>
                  <c:pt idx="3">
                    <c:v>Ammonia</c:v>
                  </c:pt>
                  <c:pt idx="4">
                    <c:v>Sulphur</c:v>
                  </c:pt>
                  <c:pt idx="5">
                    <c:v>Natural gas</c:v>
                  </c:pt>
                  <c:pt idx="6">
                    <c:v>Phosphate 
rock</c:v>
                  </c:pt>
                </c:lvl>
                <c:lvl>
                  <c:pt idx="0">
                    <c:v>Fertilizers</c:v>
                  </c:pt>
                  <c:pt idx="3">
                    <c:v>Feedstock</c:v>
                  </c:pt>
                </c:lvl>
              </c:multiLvlStrCache>
            </c:multiLvlStrRef>
          </c:cat>
          <c:val>
            <c:numRef>
              <c:f>'18.F'!$R$3:$R$9</c:f>
              <c:numCache>
                <c:formatCode>General</c:formatCode>
                <c:ptCount val="7"/>
                <c:pt idx="0">
                  <c:v>26.9</c:v>
                </c:pt>
                <c:pt idx="1">
                  <c:v>43.1</c:v>
                </c:pt>
                <c:pt idx="2">
                  <c:v>78.3</c:v>
                </c:pt>
                <c:pt idx="3">
                  <c:v>8.5</c:v>
                </c:pt>
                <c:pt idx="4">
                  <c:v>48.8</c:v>
                </c:pt>
                <c:pt idx="5">
                  <c:v>27.6</c:v>
                </c:pt>
                <c:pt idx="6">
                  <c:v>13</c:v>
                </c:pt>
              </c:numCache>
            </c:numRef>
          </c:val>
          <c:extLst>
            <c:ext xmlns:c16="http://schemas.microsoft.com/office/drawing/2014/chart" uri="{C3380CC4-5D6E-409C-BE32-E72D297353CC}">
              <c16:uniqueId val="{00000000-B428-4D0D-969B-0146214D1B58}"/>
            </c:ext>
          </c:extLst>
        </c:ser>
        <c:dLbls>
          <c:showLegendKey val="0"/>
          <c:showVal val="0"/>
          <c:showCatName val="0"/>
          <c:showSerName val="0"/>
          <c:showPercent val="0"/>
          <c:showBubbleSize val="0"/>
        </c:dLbls>
        <c:gapWidth val="150"/>
        <c:axId val="730047119"/>
        <c:axId val="730049519"/>
      </c:barChart>
      <c:catAx>
        <c:axId val="73004711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730049519"/>
        <c:crosses val="autoZero"/>
        <c:auto val="1"/>
        <c:lblAlgn val="ctr"/>
        <c:lblOffset val="100"/>
        <c:noMultiLvlLbl val="0"/>
      </c:catAx>
      <c:valAx>
        <c:axId val="73004951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30047119"/>
        <c:crosses val="autoZero"/>
        <c:crossBetween val="between"/>
        <c:majorUnit val="30"/>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30383</xdr:rowOff>
    </xdr:from>
    <xdr:to>
      <xdr:col>14</xdr:col>
      <xdr:colOff>0</xdr:colOff>
      <xdr:row>32</xdr:row>
      <xdr:rowOff>139240</xdr:rowOff>
    </xdr:to>
    <xdr:graphicFrame macro="">
      <xdr:nvGraphicFramePr>
        <xdr:cNvPr id="2" name="Chart 1">
          <a:extLst>
            <a:ext uri="{FF2B5EF4-FFF2-40B4-BE49-F238E27FC236}">
              <a16:creationId xmlns:a16="http://schemas.microsoft.com/office/drawing/2014/main" id="{23FD9119-4EF8-4DD9-B486-D7CA0F7F8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1.37366E-7</cdr:y>
    </cdr:from>
    <cdr:to>
      <cdr:x>0.25079</cdr:x>
      <cdr:y>0.06168</cdr:y>
    </cdr:to>
    <cdr:sp macro="" textlink="">
      <cdr:nvSpPr>
        <cdr:cNvPr id="5" name="TextBox 1">
          <a:extLst xmlns:a="http://schemas.openxmlformats.org/drawingml/2006/main">
            <a:ext uri="{FF2B5EF4-FFF2-40B4-BE49-F238E27FC236}">
              <a16:creationId xmlns:a16="http://schemas.microsoft.com/office/drawing/2014/main" id="{91042626-8341-4FA9-AF57-C9AE7D4E968B}"/>
            </a:ext>
          </a:extLst>
        </cdr:cNvPr>
        <cdr:cNvSpPr txBox="1"/>
      </cdr:nvSpPr>
      <cdr:spPr>
        <a:xfrm xmlns:a="http://schemas.openxmlformats.org/drawingml/2006/main">
          <a:off x="0" y="1"/>
          <a:ext cx="2149928" cy="44903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eaLnBrk="1" fontAlgn="auto" latinLnBrk="0" hangingPunct="1"/>
          <a:r>
            <a:rPr lang="en-US" sz="3200" b="0" i="0" baseline="0">
              <a:effectLst/>
              <a:latin typeface="Arial" panose="020B0604020202020204" pitchFamily="34" charset="0"/>
              <a:ea typeface="+mn-ea"/>
              <a:cs typeface="Arial" panose="020B0604020202020204" pitchFamily="34" charset="0"/>
            </a:rPr>
            <a:t>US$/mt</a:t>
          </a:r>
          <a:endParaRPr lang="en-US" sz="3200">
            <a:effectLst/>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35604</xdr:colOff>
      <xdr:row>1</xdr:row>
      <xdr:rowOff>54875</xdr:rowOff>
    </xdr:from>
    <xdr:to>
      <xdr:col>14</xdr:col>
      <xdr:colOff>384178</xdr:colOff>
      <xdr:row>31</xdr:row>
      <xdr:rowOff>83247</xdr:rowOff>
    </xdr:to>
    <xdr:graphicFrame macro="">
      <xdr:nvGraphicFramePr>
        <xdr:cNvPr id="2" name="Chart 1">
          <a:extLst>
            <a:ext uri="{FF2B5EF4-FFF2-40B4-BE49-F238E27FC236}">
              <a16:creationId xmlns:a16="http://schemas.microsoft.com/office/drawing/2014/main" id="{70B2571D-2090-4A0E-87AC-BC52D084D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0.00357</cdr:y>
    </cdr:from>
    <cdr:to>
      <cdr:x>0.22639</cdr:x>
      <cdr:y>0.08507</cdr:y>
    </cdr:to>
    <cdr:sp macro="" textlink="">
      <cdr:nvSpPr>
        <cdr:cNvPr id="5" name="TextBox 1">
          <a:extLst xmlns:a="http://schemas.openxmlformats.org/drawingml/2006/main">
            <a:ext uri="{FF2B5EF4-FFF2-40B4-BE49-F238E27FC236}">
              <a16:creationId xmlns:a16="http://schemas.microsoft.com/office/drawing/2014/main" id="{91042626-8341-4FA9-AF57-C9AE7D4E968B}"/>
            </a:ext>
          </a:extLst>
        </cdr:cNvPr>
        <cdr:cNvSpPr txBox="1"/>
      </cdr:nvSpPr>
      <cdr:spPr>
        <a:xfrm xmlns:a="http://schemas.openxmlformats.org/drawingml/2006/main">
          <a:off x="0" y="24483"/>
          <a:ext cx="2070100" cy="55892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eaLnBrk="1" fontAlgn="auto" latinLnBrk="0" hangingPunct="1"/>
          <a:r>
            <a:rPr lang="en-US" sz="3200" b="0" i="0" baseline="0">
              <a:effectLst/>
              <a:latin typeface="Arial" panose="020B0604020202020204" pitchFamily="34" charset="0"/>
              <a:ea typeface="Verdana" panose="020B0604030504040204" pitchFamily="34" charset="0"/>
              <a:cs typeface="Arial" panose="020B0604020202020204" pitchFamily="34" charset="0"/>
            </a:rPr>
            <a:t>US$/mt</a:t>
          </a:r>
          <a:endParaRPr lang="en-US" sz="3200">
            <a:effectLst/>
            <a:latin typeface="Arial" panose="020B0604020202020204" pitchFamily="34" charset="0"/>
            <a:ea typeface="Verdana" panose="020B0604030504040204" pitchFamily="34" charset="0"/>
            <a:cs typeface="Arial" panose="020B0604020202020204" pitchFamily="34" charset="0"/>
          </a:endParaRPr>
        </a:p>
      </cdr:txBody>
    </cdr:sp>
  </cdr:relSizeAnchor>
  <cdr:relSizeAnchor xmlns:cdr="http://schemas.openxmlformats.org/drawingml/2006/chartDrawing">
    <cdr:from>
      <cdr:x>0.73393</cdr:x>
      <cdr:y>0</cdr:y>
    </cdr:from>
    <cdr:to>
      <cdr:x>1</cdr:x>
      <cdr:y>0.0815</cdr:y>
    </cdr:to>
    <cdr:sp macro="" textlink="">
      <cdr:nvSpPr>
        <cdr:cNvPr id="3" name="TextBox 1">
          <a:extLst xmlns:a="http://schemas.openxmlformats.org/drawingml/2006/main">
            <a:ext uri="{FF2B5EF4-FFF2-40B4-BE49-F238E27FC236}">
              <a16:creationId xmlns:a16="http://schemas.microsoft.com/office/drawing/2014/main" id="{91042626-8341-4FA9-AF57-C9AE7D4E968B}"/>
            </a:ext>
          </a:extLst>
        </cdr:cNvPr>
        <cdr:cNvSpPr txBox="1"/>
      </cdr:nvSpPr>
      <cdr:spPr>
        <a:xfrm xmlns:a="http://schemas.openxmlformats.org/drawingml/2006/main">
          <a:off x="6711043" y="0"/>
          <a:ext cx="2432957" cy="55892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eaLnBrk="1" fontAlgn="auto" latinLnBrk="0" hangingPunct="1"/>
          <a:r>
            <a:rPr lang="en-US" sz="3200" b="0" i="0" baseline="0">
              <a:effectLst/>
              <a:latin typeface="Arial" panose="020B0604020202020204" pitchFamily="34" charset="0"/>
              <a:ea typeface="Verdana" panose="020B0604030504040204" pitchFamily="34" charset="0"/>
              <a:cs typeface="Arial" panose="020B0604020202020204" pitchFamily="34" charset="0"/>
            </a:rPr>
            <a:t>US$/mmbtu</a:t>
          </a:r>
          <a:endParaRPr lang="en-US" sz="3200">
            <a:effectLst/>
            <a:latin typeface="Arial" panose="020B0604020202020204" pitchFamily="34" charset="0"/>
            <a:ea typeface="Verdana" panose="020B0604030504040204" pitchFamily="34" charset="0"/>
            <a:cs typeface="Arial" panose="020B0604020202020204" pitchFamily="34" charset="0"/>
          </a:endParaRPr>
        </a:p>
      </cdr:txBody>
    </cdr:sp>
  </cdr:relSizeAnchor>
  <cdr:relSizeAnchor xmlns:cdr="http://schemas.openxmlformats.org/drawingml/2006/chartDrawing">
    <cdr:from>
      <cdr:x>0.00556</cdr:x>
      <cdr:y>0.00768</cdr:y>
    </cdr:from>
    <cdr:to>
      <cdr:x>0.55139</cdr:x>
      <cdr:y>0.07685</cdr:y>
    </cdr:to>
    <cdr:sp macro="" textlink="">
      <cdr:nvSpPr>
        <cdr:cNvPr id="4" name="TextBox 1">
          <a:extLst xmlns:a="http://schemas.openxmlformats.org/drawingml/2006/main">
            <a:ext uri="{FF2B5EF4-FFF2-40B4-BE49-F238E27FC236}">
              <a16:creationId xmlns:a16="http://schemas.microsoft.com/office/drawing/2014/main" id="{4877AE80-E58A-42C4-8AB4-0D82D60A561B}"/>
            </a:ext>
          </a:extLst>
        </cdr:cNvPr>
        <cdr:cNvSpPr txBox="1"/>
      </cdr:nvSpPr>
      <cdr:spPr>
        <a:xfrm xmlns:a="http://schemas.openxmlformats.org/drawingml/2006/main">
          <a:off x="50800" y="50800"/>
          <a:ext cx="4991100" cy="4572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eaLnBrk="1" fontAlgn="auto" latinLnBrk="0" hangingPunct="1"/>
          <a:endParaRPr lang="en-US" sz="2400" b="1">
            <a:effectLst/>
            <a:latin typeface="Verdana" panose="020B0604030504040204" pitchFamily="34" charset="0"/>
            <a:ea typeface="Verdana" panose="020B0604030504040204" pitchFamily="34" charset="0"/>
            <a:cs typeface="Arial" panose="020B0604020202020204"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xdr:row>
      <xdr:rowOff>65533</xdr:rowOff>
    </xdr:from>
    <xdr:to>
      <xdr:col>14</xdr:col>
      <xdr:colOff>0</xdr:colOff>
      <xdr:row>32</xdr:row>
      <xdr:rowOff>174390</xdr:rowOff>
    </xdr:to>
    <xdr:graphicFrame macro="">
      <xdr:nvGraphicFramePr>
        <xdr:cNvPr id="3" name="Chart 2">
          <a:extLst>
            <a:ext uri="{FF2B5EF4-FFF2-40B4-BE49-F238E27FC236}">
              <a16:creationId xmlns:a16="http://schemas.microsoft.com/office/drawing/2014/main" id="{D606BC73-CA2B-F523-90FE-F4162DE01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0.00552</cdr:x>
      <cdr:y>0.00734</cdr:y>
    </cdr:from>
    <cdr:to>
      <cdr:x>0.38916</cdr:x>
      <cdr:y>0.08119</cdr:y>
    </cdr:to>
    <cdr:sp macro="" textlink="">
      <cdr:nvSpPr>
        <cdr:cNvPr id="2" name="TextBox 1">
          <a:extLst xmlns:a="http://schemas.openxmlformats.org/drawingml/2006/main">
            <a:ext uri="{FF2B5EF4-FFF2-40B4-BE49-F238E27FC236}">
              <a16:creationId xmlns:a16="http://schemas.microsoft.com/office/drawing/2014/main" id="{BEB778A4-0580-3BCC-1539-F6D92CB1DECD}"/>
            </a:ext>
          </a:extLst>
        </cdr:cNvPr>
        <cdr:cNvSpPr txBox="1"/>
      </cdr:nvSpPr>
      <cdr:spPr>
        <a:xfrm xmlns:a="http://schemas.openxmlformats.org/drawingml/2006/main">
          <a:off x="51025" y="50800"/>
          <a:ext cx="3548065" cy="5111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Million mt</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54429</xdr:colOff>
      <xdr:row>1</xdr:row>
      <xdr:rowOff>91767</xdr:rowOff>
    </xdr:from>
    <xdr:to>
      <xdr:col>14</xdr:col>
      <xdr:colOff>54429</xdr:colOff>
      <xdr:row>32</xdr:row>
      <xdr:rowOff>205386</xdr:rowOff>
    </xdr:to>
    <xdr:graphicFrame macro="">
      <xdr:nvGraphicFramePr>
        <xdr:cNvPr id="2" name="Chart 1">
          <a:extLst>
            <a:ext uri="{FF2B5EF4-FFF2-40B4-BE49-F238E27FC236}">
              <a16:creationId xmlns:a16="http://schemas.microsoft.com/office/drawing/2014/main" id="{CC612088-0BF3-49FC-8820-3EF530C23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24079214-3C93-5C45-3073-76C7416D9CB9}"/>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Index</a:t>
          </a: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1</xdr:row>
      <xdr:rowOff>27211</xdr:rowOff>
    </xdr:from>
    <xdr:to>
      <xdr:col>14</xdr:col>
      <xdr:colOff>571500</xdr:colOff>
      <xdr:row>32</xdr:row>
      <xdr:rowOff>142418</xdr:rowOff>
    </xdr:to>
    <xdr:graphicFrame macro="">
      <xdr:nvGraphicFramePr>
        <xdr:cNvPr id="2" name="Chart 1">
          <a:extLst>
            <a:ext uri="{FF2B5EF4-FFF2-40B4-BE49-F238E27FC236}">
              <a16:creationId xmlns:a16="http://schemas.microsoft.com/office/drawing/2014/main" id="{AC350B3A-9DF2-4302-BA73-C58D2284B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cdr:x>
      <cdr:y>1.37366E-7</cdr:y>
    </cdr:from>
    <cdr:to>
      <cdr:x>0.25079</cdr:x>
      <cdr:y>0.06168</cdr:y>
    </cdr:to>
    <cdr:sp macro="" textlink="">
      <cdr:nvSpPr>
        <cdr:cNvPr id="5" name="TextBox 1">
          <a:extLst xmlns:a="http://schemas.openxmlformats.org/drawingml/2006/main">
            <a:ext uri="{FF2B5EF4-FFF2-40B4-BE49-F238E27FC236}">
              <a16:creationId xmlns:a16="http://schemas.microsoft.com/office/drawing/2014/main" id="{91042626-8341-4FA9-AF57-C9AE7D4E968B}"/>
            </a:ext>
          </a:extLst>
        </cdr:cNvPr>
        <cdr:cNvSpPr txBox="1"/>
      </cdr:nvSpPr>
      <cdr:spPr>
        <a:xfrm xmlns:a="http://schemas.openxmlformats.org/drawingml/2006/main">
          <a:off x="0" y="1"/>
          <a:ext cx="2149928" cy="44903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eaLnBrk="1" fontAlgn="auto" latinLnBrk="0" hangingPunct="1"/>
          <a:r>
            <a:rPr lang="en-US" sz="3200" b="0" i="0" baseline="0">
              <a:effectLst/>
              <a:latin typeface="Arial" panose="020B0604020202020204" pitchFamily="34" charset="0"/>
              <a:ea typeface="+mn-ea"/>
              <a:cs typeface="Arial" panose="020B0604020202020204" pitchFamily="34" charset="0"/>
            </a:rPr>
            <a:t>US$/mt</a:t>
          </a:r>
          <a:endParaRPr lang="en-US" sz="3200">
            <a:effectLst/>
            <a:latin typeface="Arial" panose="020B0604020202020204" pitchFamily="34" charset="0"/>
            <a:cs typeface="Arial" panose="020B0604020202020204" pitchFamily="34" charset="0"/>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0</xdr:row>
      <xdr:rowOff>311149</xdr:rowOff>
    </xdr:from>
    <xdr:to>
      <xdr:col>14</xdr:col>
      <xdr:colOff>571500</xdr:colOff>
      <xdr:row>29</xdr:row>
      <xdr:rowOff>93435</xdr:rowOff>
    </xdr:to>
    <xdr:graphicFrame macro="">
      <xdr:nvGraphicFramePr>
        <xdr:cNvPr id="2" name="Chart 1">
          <a:extLst>
            <a:ext uri="{FF2B5EF4-FFF2-40B4-BE49-F238E27FC236}">
              <a16:creationId xmlns:a16="http://schemas.microsoft.com/office/drawing/2014/main" id="{A8ABC4A4-CF25-4587-B6D2-6ED77DBD1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96212</xdr:colOff>
      <xdr:row>2</xdr:row>
      <xdr:rowOff>25638</xdr:rowOff>
    </xdr:from>
    <xdr:to>
      <xdr:col>15</xdr:col>
      <xdr:colOff>148167</xdr:colOff>
      <xdr:row>31</xdr:row>
      <xdr:rowOff>119926</xdr:rowOff>
    </xdr:to>
    <xdr:graphicFrame macro="">
      <xdr:nvGraphicFramePr>
        <xdr:cNvPr id="4" name="Chart 3">
          <a:extLst>
            <a:ext uri="{FF2B5EF4-FFF2-40B4-BE49-F238E27FC236}">
              <a16:creationId xmlns:a16="http://schemas.microsoft.com/office/drawing/2014/main" id="{7FEDF20E-A047-4C2B-B667-B60B3205A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837045</xdr:colOff>
      <xdr:row>15</xdr:row>
      <xdr:rowOff>72160</xdr:rowOff>
    </xdr:from>
    <xdr:to>
      <xdr:col>26</xdr:col>
      <xdr:colOff>288635</xdr:colOff>
      <xdr:row>37</xdr:row>
      <xdr:rowOff>86592</xdr:rowOff>
    </xdr:to>
    <xdr:graphicFrame macro="">
      <xdr:nvGraphicFramePr>
        <xdr:cNvPr id="5" name="Chart 4">
          <a:extLst>
            <a:ext uri="{FF2B5EF4-FFF2-40B4-BE49-F238E27FC236}">
              <a16:creationId xmlns:a16="http://schemas.microsoft.com/office/drawing/2014/main" id="{8D6FADFC-0A73-4E17-984E-7C0D357FD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535420</xdr:colOff>
      <xdr:row>7</xdr:row>
      <xdr:rowOff>21070</xdr:rowOff>
    </xdr:from>
    <xdr:to>
      <xdr:col>60</xdr:col>
      <xdr:colOff>592281</xdr:colOff>
      <xdr:row>35</xdr:row>
      <xdr:rowOff>147492</xdr:rowOff>
    </xdr:to>
    <xdr:graphicFrame macro="">
      <xdr:nvGraphicFramePr>
        <xdr:cNvPr id="6" name="Chart 5">
          <a:extLst>
            <a:ext uri="{FF2B5EF4-FFF2-40B4-BE49-F238E27FC236}">
              <a16:creationId xmlns:a16="http://schemas.microsoft.com/office/drawing/2014/main" id="{F05D2E4D-ACEF-88B5-CD42-6B4EEDD3C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0.00552</cdr:x>
      <cdr:y>0.00734</cdr:y>
    </cdr:from>
    <cdr:to>
      <cdr:x>0.51643</cdr:x>
      <cdr:y>0.08021</cdr:y>
    </cdr:to>
    <cdr:sp macro="" textlink="">
      <cdr:nvSpPr>
        <cdr:cNvPr id="2" name="TextBox 1">
          <a:extLst xmlns:a="http://schemas.openxmlformats.org/drawingml/2006/main">
            <a:ext uri="{FF2B5EF4-FFF2-40B4-BE49-F238E27FC236}">
              <a16:creationId xmlns:a16="http://schemas.microsoft.com/office/drawing/2014/main" id="{9CC5AD8F-48F7-D8AD-85C6-66CAE533E65B}"/>
            </a:ext>
          </a:extLst>
        </cdr:cNvPr>
        <cdr:cNvSpPr txBox="1"/>
      </cdr:nvSpPr>
      <cdr:spPr>
        <a:xfrm xmlns:a="http://schemas.openxmlformats.org/drawingml/2006/main">
          <a:off x="51025" y="50800"/>
          <a:ext cx="4725082" cy="50437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Million mt</a:t>
          </a:r>
        </a:p>
      </cdr:txBody>
    </cdr:sp>
  </cdr:relSizeAnchor>
</c:userShapes>
</file>

<file path=xl/drawings/drawing13.xml><?xml version="1.0" encoding="utf-8"?>
<c:userShapes xmlns:c="http://schemas.openxmlformats.org/drawingml/2006/chart">
  <cdr:relSizeAnchor xmlns:cdr="http://schemas.openxmlformats.org/drawingml/2006/chartDrawing">
    <cdr:from>
      <cdr:x>0.00552</cdr:x>
      <cdr:y>0.00734</cdr:y>
    </cdr:from>
    <cdr:to>
      <cdr:x>0.4226</cdr:x>
      <cdr:y>0.11488</cdr:y>
    </cdr:to>
    <cdr:sp macro="" textlink="">
      <cdr:nvSpPr>
        <cdr:cNvPr id="2" name="TextBox 1">
          <a:extLst xmlns:a="http://schemas.openxmlformats.org/drawingml/2006/main">
            <a:ext uri="{FF2B5EF4-FFF2-40B4-BE49-F238E27FC236}">
              <a16:creationId xmlns:a16="http://schemas.microsoft.com/office/drawing/2014/main" id="{E6598CA3-1073-1C03-ECF9-19545C490321}"/>
            </a:ext>
          </a:extLst>
        </cdr:cNvPr>
        <cdr:cNvSpPr txBox="1"/>
      </cdr:nvSpPr>
      <cdr:spPr>
        <a:xfrm xmlns:a="http://schemas.openxmlformats.org/drawingml/2006/main">
          <a:off x="50477" y="50287"/>
          <a:ext cx="3815808" cy="73682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Million mt</a:t>
          </a:r>
        </a:p>
      </cdr:txBody>
    </cdr:sp>
  </cdr:relSizeAnchor>
</c:userShapes>
</file>

<file path=xl/drawings/drawing14.xml><?xml version="1.0" encoding="utf-8"?>
<xdr:wsDr xmlns:xdr="http://schemas.openxmlformats.org/drawingml/2006/spreadsheetDrawing" xmlns:a="http://schemas.openxmlformats.org/drawingml/2006/main">
  <xdr:twoCellAnchor>
    <xdr:from>
      <xdr:col>0</xdr:col>
      <xdr:colOff>19645</xdr:colOff>
      <xdr:row>1</xdr:row>
      <xdr:rowOff>115219</xdr:rowOff>
    </xdr:from>
    <xdr:to>
      <xdr:col>7</xdr:col>
      <xdr:colOff>978098</xdr:colOff>
      <xdr:row>32</xdr:row>
      <xdr:rowOff>57473</xdr:rowOff>
    </xdr:to>
    <xdr:graphicFrame macro="">
      <xdr:nvGraphicFramePr>
        <xdr:cNvPr id="2" name="Chart 1">
          <a:extLst>
            <a:ext uri="{FF2B5EF4-FFF2-40B4-BE49-F238E27FC236}">
              <a16:creationId xmlns:a16="http://schemas.microsoft.com/office/drawing/2014/main" id="{4CA245F4-3E6E-4A56-AF77-7840551EE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0.00552</cdr:x>
      <cdr:y>0.00734</cdr:y>
    </cdr:from>
    <cdr:to>
      <cdr:x>0.79229</cdr:x>
      <cdr:y>0.08292</cdr:y>
    </cdr:to>
    <cdr:sp macro="" textlink="">
      <cdr:nvSpPr>
        <cdr:cNvPr id="2" name="TextBox 1">
          <a:extLst xmlns:a="http://schemas.openxmlformats.org/drawingml/2006/main">
            <a:ext uri="{FF2B5EF4-FFF2-40B4-BE49-F238E27FC236}">
              <a16:creationId xmlns:a16="http://schemas.microsoft.com/office/drawing/2014/main" id="{DA04DF1E-E754-43F4-7593-FB4F7DA6C661}"/>
            </a:ext>
          </a:extLst>
        </cdr:cNvPr>
        <cdr:cNvSpPr txBox="1"/>
      </cdr:nvSpPr>
      <cdr:spPr>
        <a:xfrm xmlns:a="http://schemas.openxmlformats.org/drawingml/2006/main">
          <a:off x="50752" y="51734"/>
          <a:ext cx="7240105" cy="53246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 </a:t>
          </a:r>
        </a:p>
      </cdr:txBody>
    </cdr:sp>
  </cdr:relSizeAnchor>
</c:userShapes>
</file>

<file path=xl/drawings/drawing16.xml><?xml version="1.0" encoding="utf-8"?>
<xdr:wsDr xmlns:xdr="http://schemas.openxmlformats.org/drawingml/2006/spreadsheetDrawing" xmlns:a="http://schemas.openxmlformats.org/drawingml/2006/main">
  <xdr:twoCellAnchor>
    <xdr:from>
      <xdr:col>0</xdr:col>
      <xdr:colOff>0</xdr:colOff>
      <xdr:row>1</xdr:row>
      <xdr:rowOff>77253</xdr:rowOff>
    </xdr:from>
    <xdr:to>
      <xdr:col>13</xdr:col>
      <xdr:colOff>407789</xdr:colOff>
      <xdr:row>32</xdr:row>
      <xdr:rowOff>19507</xdr:rowOff>
    </xdr:to>
    <xdr:graphicFrame macro="">
      <xdr:nvGraphicFramePr>
        <xdr:cNvPr id="3" name="Chart 2">
          <a:extLst>
            <a:ext uri="{FF2B5EF4-FFF2-40B4-BE49-F238E27FC236}">
              <a16:creationId xmlns:a16="http://schemas.microsoft.com/office/drawing/2014/main" id="{50DDBE19-524C-4742-A7F1-9682D6EFA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0.00552</cdr:x>
      <cdr:y>0.00734</cdr:y>
    </cdr:from>
    <cdr:to>
      <cdr:x>0.79229</cdr:x>
      <cdr:y>0.08292</cdr:y>
    </cdr:to>
    <cdr:sp macro="" textlink="">
      <cdr:nvSpPr>
        <cdr:cNvPr id="2" name="TextBox 1">
          <a:extLst xmlns:a="http://schemas.openxmlformats.org/drawingml/2006/main">
            <a:ext uri="{FF2B5EF4-FFF2-40B4-BE49-F238E27FC236}">
              <a16:creationId xmlns:a16="http://schemas.microsoft.com/office/drawing/2014/main" id="{DA04DF1E-E754-43F4-7593-FB4F7DA6C661}"/>
            </a:ext>
          </a:extLst>
        </cdr:cNvPr>
        <cdr:cNvSpPr txBox="1"/>
      </cdr:nvSpPr>
      <cdr:spPr>
        <a:xfrm xmlns:a="http://schemas.openxmlformats.org/drawingml/2006/main">
          <a:off x="50752" y="51734"/>
          <a:ext cx="7240105" cy="53246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 </a:t>
          </a:r>
        </a:p>
        <a:p xmlns:a="http://schemas.openxmlformats.org/drawingml/2006/main">
          <a:endParaRPr lang="en-US" sz="3200" kern="1200">
            <a:latin typeface="Arial" panose="020B0604020202020204" pitchFamily="34" charset="0"/>
          </a:endParaRPr>
        </a:p>
      </cdr:txBody>
    </cdr:sp>
  </cdr:relSizeAnchor>
</c:userShapes>
</file>

<file path=xl/theme/theme1.xml><?xml version="1.0" encoding="utf-8"?>
<a:theme xmlns:a="http://schemas.openxmlformats.org/drawingml/2006/main" name="Office Theme">
  <a:themeElements>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3DEF0-6140-41AD-8AC4-E7AC27B100F7}">
  <sheetPr codeName="Sheet1">
    <tabColor rgb="FFEB1C2D"/>
  </sheetPr>
  <dimension ref="A1:G21"/>
  <sheetViews>
    <sheetView tabSelected="1" zoomScale="70" zoomScaleNormal="70" workbookViewId="0"/>
  </sheetViews>
  <sheetFormatPr defaultRowHeight="15"/>
  <cols>
    <col min="1" max="1" width="108.85546875" customWidth="1"/>
  </cols>
  <sheetData>
    <row r="1" spans="1:7" ht="18">
      <c r="A1" s="1" t="s">
        <v>52</v>
      </c>
    </row>
    <row r="2" spans="1:7" ht="18">
      <c r="A2" s="2" t="str">
        <f>'18.A'!A1</f>
        <v>Figure 18.A. Fertilizer prices</v>
      </c>
      <c r="B2" s="3"/>
      <c r="C2" s="3"/>
      <c r="D2" s="3"/>
    </row>
    <row r="3" spans="1:7" ht="18">
      <c r="A3" s="2" t="str">
        <f>'18.B'!A1</f>
        <v>Figure 18.B. Fertilizer input costs</v>
      </c>
      <c r="B3" s="3"/>
      <c r="C3" s="3"/>
      <c r="D3" s="3"/>
    </row>
    <row r="4" spans="1:7" ht="18">
      <c r="A4" s="2" t="str">
        <f>'18.C'!A1</f>
        <v>Figure 18.C. Fertilizer exports from China, cumulative through February</v>
      </c>
      <c r="B4" s="3"/>
      <c r="C4" s="3"/>
      <c r="D4" s="3"/>
    </row>
    <row r="5" spans="1:7" ht="18">
      <c r="A5" s="2" t="str">
        <f>'18.D'!A1</f>
        <v>Figure 18.D. Fertilizer affordability indexes</v>
      </c>
      <c r="B5" s="3"/>
      <c r="C5" s="3"/>
      <c r="D5" s="3"/>
    </row>
    <row r="6" spans="1:7" ht="18">
      <c r="A6" s="2" t="str">
        <f>'18.E'!A1</f>
        <v>Figure 18.E. Fertilizer exports from the Middle East as share of global exports</v>
      </c>
      <c r="B6" s="3"/>
      <c r="C6" s="3"/>
      <c r="D6" s="3"/>
    </row>
    <row r="7" spans="1:7" ht="18">
      <c r="A7" s="2" t="str">
        <f>'18.F'!A1</f>
        <v xml:space="preserve">Figure 18.F. Global fertilizer exports as share of global production </v>
      </c>
      <c r="B7" s="3"/>
      <c r="C7" s="3"/>
      <c r="D7" s="3"/>
      <c r="E7" s="3"/>
    </row>
    <row r="8" spans="1:7" ht="18">
      <c r="A8" s="2"/>
      <c r="B8" s="3"/>
      <c r="C8" s="3"/>
      <c r="D8" s="3"/>
      <c r="E8" s="3"/>
    </row>
    <row r="9" spans="1:7" ht="18">
      <c r="A9" s="3"/>
      <c r="B9" s="3"/>
      <c r="C9" s="3"/>
      <c r="D9" s="3"/>
      <c r="E9" s="3"/>
    </row>
    <row r="10" spans="1:7" ht="18">
      <c r="A10" s="1"/>
      <c r="B10" s="3"/>
      <c r="C10" s="3"/>
      <c r="D10" s="3"/>
      <c r="E10" s="3"/>
    </row>
    <row r="11" spans="1:7" ht="18">
      <c r="A11" s="2"/>
      <c r="B11" s="3"/>
      <c r="C11" s="3"/>
      <c r="D11" s="3"/>
      <c r="E11" s="3"/>
    </row>
    <row r="12" spans="1:7" ht="18">
      <c r="A12" s="2"/>
      <c r="B12" s="3"/>
      <c r="C12" s="3"/>
      <c r="D12" s="3"/>
      <c r="E12" s="3"/>
    </row>
    <row r="13" spans="1:7" ht="18">
      <c r="A13" s="2"/>
      <c r="B13" s="3"/>
      <c r="C13" s="3"/>
      <c r="D13" s="3"/>
      <c r="E13" s="3"/>
    </row>
    <row r="14" spans="1:7" ht="18">
      <c r="A14" s="2"/>
      <c r="B14" s="3"/>
      <c r="C14" s="3"/>
      <c r="D14" s="3"/>
      <c r="E14" s="3"/>
    </row>
    <row r="16" spans="1:7" ht="18">
      <c r="G16" s="3"/>
    </row>
    <row r="17" spans="1:7" ht="18">
      <c r="G17" s="3"/>
    </row>
    <row r="18" spans="1:7" ht="18">
      <c r="G18" s="3"/>
    </row>
    <row r="19" spans="1:7" ht="18">
      <c r="G19" s="3"/>
    </row>
    <row r="20" spans="1:7" ht="18">
      <c r="G20" s="3"/>
    </row>
    <row r="21" spans="1:7" ht="18">
      <c r="A21" s="3"/>
      <c r="B21" s="3"/>
      <c r="C21" s="3"/>
      <c r="D21" s="3"/>
      <c r="E21" s="3"/>
      <c r="F21" s="3"/>
      <c r="G21" s="3"/>
    </row>
  </sheetData>
  <hyperlinks>
    <hyperlink ref="A2" location="'18.A'!A1" display="'18.A'!A1" xr:uid="{DA30EC6F-430F-4F2C-B4BD-4F00E29BAF06}"/>
    <hyperlink ref="A3" location="'18.B'!A1" display="Figure 17.B. Fertilizer input costs" xr:uid="{469B1528-FB9A-4CD8-95E2-3508B914FF3B}"/>
    <hyperlink ref="A4" location="'18.C'!A1" display="'18.C'!A1" xr:uid="{D8838F49-3E41-4825-89CD-C8716EC44772}"/>
    <hyperlink ref="A5" location="'18.D'!A1" display="'18.D'!A1" xr:uid="{357B82BE-A265-44C2-8FBE-D1675F78F1FE}"/>
    <hyperlink ref="A6" location="'18.E'!A1" display="'18.E'!A1" xr:uid="{F62AAB53-9986-4627-BB92-78D3E6DDA466}"/>
    <hyperlink ref="A7" location="'18.F'!A1" display="'18.F'!A1" xr:uid="{33C606B6-7957-4A97-AE22-C0F97F4DDB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3E505-36A3-418D-B11D-0D9B83C96090}">
  <sheetPr codeName="Sheet2"/>
  <dimension ref="A1:T121"/>
  <sheetViews>
    <sheetView zoomScale="70" zoomScaleNormal="70" workbookViewId="0"/>
  </sheetViews>
  <sheetFormatPr defaultColWidth="9.140625" defaultRowHeight="18"/>
  <cols>
    <col min="1" max="16" width="9.140625" style="31"/>
    <col min="17" max="17" width="13.7109375" style="31" customWidth="1"/>
    <col min="18" max="18" width="10.42578125" style="35" bestFit="1" customWidth="1"/>
    <col min="19" max="19" width="9" style="35" bestFit="1" customWidth="1"/>
    <col min="20" max="20" width="10.42578125" style="35" bestFit="1" customWidth="1"/>
    <col min="21" max="16384" width="9.140625" style="31"/>
  </cols>
  <sheetData>
    <row r="1" spans="1:20" customFormat="1" ht="26.25">
      <c r="A1" s="4" t="s">
        <v>43</v>
      </c>
      <c r="R1" s="8"/>
      <c r="S1" s="8"/>
      <c r="T1" s="8"/>
    </row>
    <row r="2" spans="1:20">
      <c r="R2" s="5" t="s">
        <v>0</v>
      </c>
      <c r="S2" s="5" t="s">
        <v>1</v>
      </c>
      <c r="T2" s="5" t="s">
        <v>2</v>
      </c>
    </row>
    <row r="3" spans="1:20">
      <c r="Q3" s="32">
        <v>43831</v>
      </c>
      <c r="R3" s="31">
        <v>264.89999999999998</v>
      </c>
      <c r="S3" s="31">
        <v>215.4</v>
      </c>
      <c r="T3" s="31">
        <v>268.7</v>
      </c>
    </row>
    <row r="4" spans="1:20">
      <c r="Q4" s="32">
        <v>43862</v>
      </c>
      <c r="R4" s="31">
        <v>279.39999999999998</v>
      </c>
      <c r="S4" s="31">
        <v>214.4</v>
      </c>
      <c r="T4" s="31">
        <v>243.4</v>
      </c>
    </row>
    <row r="5" spans="1:20">
      <c r="Q5" s="32">
        <v>43891</v>
      </c>
      <c r="R5" s="31">
        <v>276.2</v>
      </c>
      <c r="S5" s="31">
        <v>231.1</v>
      </c>
      <c r="T5" s="31">
        <v>235</v>
      </c>
    </row>
    <row r="6" spans="1:20">
      <c r="Q6" s="32">
        <v>43922</v>
      </c>
      <c r="R6" s="31">
        <v>282</v>
      </c>
      <c r="S6" s="31">
        <v>235</v>
      </c>
      <c r="T6" s="31">
        <v>220.4</v>
      </c>
    </row>
    <row r="7" spans="1:20">
      <c r="Q7" s="32">
        <v>43952</v>
      </c>
      <c r="R7" s="31">
        <v>263</v>
      </c>
      <c r="S7" s="31">
        <v>201.9</v>
      </c>
      <c r="T7" s="31">
        <v>222.2</v>
      </c>
    </row>
    <row r="8" spans="1:20">
      <c r="Q8" s="32">
        <v>43983</v>
      </c>
      <c r="R8" s="31">
        <v>273</v>
      </c>
      <c r="S8" s="31">
        <v>202</v>
      </c>
      <c r="T8" s="31">
        <v>226.3</v>
      </c>
    </row>
    <row r="9" spans="1:20">
      <c r="Q9" s="32">
        <v>44013</v>
      </c>
      <c r="R9" s="31">
        <v>305.10000000000002</v>
      </c>
      <c r="S9" s="31">
        <v>214.4</v>
      </c>
      <c r="T9" s="31">
        <v>237.5</v>
      </c>
    </row>
    <row r="10" spans="1:20">
      <c r="Q10" s="32">
        <v>44044</v>
      </c>
      <c r="R10" s="31">
        <v>341.9</v>
      </c>
      <c r="S10" s="31">
        <v>249.5</v>
      </c>
      <c r="T10" s="31">
        <v>240.4</v>
      </c>
    </row>
    <row r="11" spans="1:20">
      <c r="Q11" s="32">
        <v>44075</v>
      </c>
      <c r="R11" s="31">
        <v>358.4</v>
      </c>
      <c r="S11" s="31">
        <v>250.5</v>
      </c>
      <c r="T11" s="31">
        <v>247.8</v>
      </c>
    </row>
    <row r="12" spans="1:20">
      <c r="Q12" s="32">
        <v>44105</v>
      </c>
      <c r="R12" s="31">
        <v>357.1</v>
      </c>
      <c r="S12" s="31">
        <v>245</v>
      </c>
      <c r="T12" s="31">
        <v>255</v>
      </c>
    </row>
    <row r="13" spans="1:20">
      <c r="Q13" s="32">
        <v>44136</v>
      </c>
      <c r="R13" s="31">
        <v>359.6</v>
      </c>
      <c r="S13" s="31">
        <v>245</v>
      </c>
      <c r="T13" s="31">
        <v>250</v>
      </c>
    </row>
    <row r="14" spans="1:20">
      <c r="Q14" s="32">
        <v>44166</v>
      </c>
      <c r="R14" s="31">
        <v>388.5</v>
      </c>
      <c r="S14" s="31">
        <v>245</v>
      </c>
      <c r="T14" s="31">
        <v>246.3</v>
      </c>
    </row>
    <row r="15" spans="1:20">
      <c r="Q15" s="32">
        <v>44197</v>
      </c>
      <c r="R15" s="31">
        <v>421.3</v>
      </c>
      <c r="S15" s="31">
        <v>265</v>
      </c>
      <c r="T15" s="31">
        <v>255.5</v>
      </c>
    </row>
    <row r="16" spans="1:20">
      <c r="Q16" s="32">
        <v>44228</v>
      </c>
      <c r="R16" s="31">
        <v>528.9</v>
      </c>
      <c r="S16" s="31">
        <v>335</v>
      </c>
      <c r="T16" s="31">
        <v>290.60000000000002</v>
      </c>
    </row>
    <row r="17" spans="17:20">
      <c r="Q17" s="32">
        <v>44256</v>
      </c>
      <c r="R17" s="31">
        <v>534.1</v>
      </c>
      <c r="S17" s="31">
        <v>352.9</v>
      </c>
      <c r="T17" s="31">
        <v>320.89999999999998</v>
      </c>
    </row>
    <row r="18" spans="17:20">
      <c r="Q18" s="32">
        <v>44287</v>
      </c>
      <c r="R18" s="31">
        <v>543.4</v>
      </c>
      <c r="S18" s="31">
        <v>328.1</v>
      </c>
      <c r="T18" s="31">
        <v>345.5</v>
      </c>
    </row>
    <row r="19" spans="17:20">
      <c r="Q19" s="32">
        <v>44317</v>
      </c>
      <c r="R19" s="31">
        <v>574.6</v>
      </c>
      <c r="S19" s="31">
        <v>331.6</v>
      </c>
      <c r="T19" s="31">
        <v>378.1</v>
      </c>
    </row>
    <row r="20" spans="17:20">
      <c r="Q20" s="32">
        <v>44348</v>
      </c>
      <c r="R20" s="31">
        <v>604.79999999999995</v>
      </c>
      <c r="S20" s="31">
        <v>393.3</v>
      </c>
      <c r="T20" s="31">
        <v>462.5</v>
      </c>
    </row>
    <row r="21" spans="17:20">
      <c r="Q21" s="32">
        <v>44378</v>
      </c>
      <c r="R21" s="31">
        <v>613</v>
      </c>
      <c r="S21" s="31">
        <v>441.5</v>
      </c>
      <c r="T21" s="31">
        <v>633</v>
      </c>
    </row>
    <row r="22" spans="17:20">
      <c r="Q22" s="32">
        <v>44409</v>
      </c>
      <c r="R22" s="31">
        <v>603.1</v>
      </c>
      <c r="S22" s="31">
        <v>446.9</v>
      </c>
      <c r="T22" s="31">
        <v>695</v>
      </c>
    </row>
    <row r="23" spans="17:20">
      <c r="Q23" s="32">
        <v>44440</v>
      </c>
      <c r="R23" s="31">
        <v>643.79999999999995</v>
      </c>
      <c r="S23" s="31">
        <v>418.8</v>
      </c>
      <c r="T23" s="31">
        <v>736.3</v>
      </c>
    </row>
    <row r="24" spans="17:20">
      <c r="Q24" s="32">
        <v>44470</v>
      </c>
      <c r="R24" s="31">
        <v>672.9</v>
      </c>
      <c r="S24" s="31">
        <v>695</v>
      </c>
      <c r="T24" s="31">
        <v>782</v>
      </c>
    </row>
    <row r="25" spans="17:20">
      <c r="Q25" s="32">
        <v>44501</v>
      </c>
      <c r="R25" s="31">
        <v>726.7</v>
      </c>
      <c r="S25" s="31">
        <v>900.5</v>
      </c>
      <c r="T25" s="31">
        <v>806.9</v>
      </c>
    </row>
    <row r="26" spans="17:20">
      <c r="Q26" s="32">
        <v>44531</v>
      </c>
      <c r="R26" s="31">
        <v>745</v>
      </c>
      <c r="S26" s="31">
        <v>890</v>
      </c>
      <c r="T26" s="31">
        <v>807.5</v>
      </c>
    </row>
    <row r="27" spans="17:20">
      <c r="Q27" s="32">
        <v>44562</v>
      </c>
      <c r="R27" s="31">
        <v>699.4</v>
      </c>
      <c r="S27" s="31">
        <v>846.4</v>
      </c>
      <c r="T27" s="31">
        <v>785.6</v>
      </c>
    </row>
    <row r="28" spans="17:20">
      <c r="Q28" s="32">
        <v>44593</v>
      </c>
      <c r="R28" s="31">
        <v>747.1</v>
      </c>
      <c r="S28" s="31">
        <v>744.2</v>
      </c>
      <c r="T28" s="31">
        <v>791.9</v>
      </c>
    </row>
    <row r="29" spans="17:20">
      <c r="Q29" s="32">
        <v>44621</v>
      </c>
      <c r="R29" s="31">
        <v>938.1</v>
      </c>
      <c r="S29" s="31">
        <v>872.5</v>
      </c>
      <c r="T29" s="31">
        <v>977.5</v>
      </c>
    </row>
    <row r="30" spans="17:20">
      <c r="Q30" s="32">
        <v>44652</v>
      </c>
      <c r="R30" s="31">
        <v>954</v>
      </c>
      <c r="S30" s="31">
        <v>925</v>
      </c>
      <c r="T30" s="31">
        <v>1202</v>
      </c>
    </row>
    <row r="31" spans="17:20">
      <c r="Q31" s="32">
        <v>44682</v>
      </c>
      <c r="R31" s="31">
        <v>842.5</v>
      </c>
      <c r="S31" s="31">
        <v>707.5</v>
      </c>
      <c r="T31" s="31">
        <v>1170</v>
      </c>
    </row>
    <row r="32" spans="17:20">
      <c r="Q32" s="32">
        <v>44713</v>
      </c>
      <c r="R32" s="31">
        <v>783.8</v>
      </c>
      <c r="S32" s="31">
        <v>690</v>
      </c>
      <c r="T32" s="31">
        <v>1101.9000000000001</v>
      </c>
    </row>
    <row r="33" spans="1:20">
      <c r="B33" s="33"/>
      <c r="C33" s="33"/>
      <c r="Q33" s="32">
        <v>44743</v>
      </c>
      <c r="R33" s="31">
        <v>784</v>
      </c>
      <c r="S33" s="31">
        <v>601</v>
      </c>
      <c r="T33" s="31">
        <v>1013</v>
      </c>
    </row>
    <row r="34" spans="1:20" ht="17.25" customHeight="1">
      <c r="A34" s="33" t="s">
        <v>13</v>
      </c>
      <c r="B34" s="36"/>
      <c r="C34" s="36"/>
      <c r="D34" s="36"/>
      <c r="E34" s="36"/>
      <c r="F34" s="36"/>
      <c r="G34" s="36"/>
      <c r="H34" s="36"/>
      <c r="I34" s="36"/>
      <c r="J34" s="36"/>
      <c r="K34" s="36"/>
      <c r="L34" s="36"/>
      <c r="M34" s="36"/>
      <c r="N34" s="36"/>
      <c r="O34" s="36"/>
      <c r="Q34" s="32">
        <v>44774</v>
      </c>
      <c r="R34" s="31">
        <v>749.4</v>
      </c>
      <c r="S34" s="31">
        <v>591.29999999999995</v>
      </c>
      <c r="T34" s="31">
        <v>888.8</v>
      </c>
    </row>
    <row r="35" spans="1:20">
      <c r="A35" s="44" t="s">
        <v>44</v>
      </c>
      <c r="B35" s="44"/>
      <c r="C35" s="44"/>
      <c r="D35" s="44"/>
      <c r="E35" s="44"/>
      <c r="F35" s="44"/>
      <c r="G35" s="44"/>
      <c r="H35" s="44"/>
      <c r="I35" s="44"/>
      <c r="J35" s="44"/>
      <c r="K35" s="44"/>
      <c r="L35" s="44"/>
      <c r="M35" s="44"/>
      <c r="N35" s="36"/>
      <c r="O35" s="36"/>
      <c r="Q35" s="32">
        <v>44805</v>
      </c>
      <c r="R35" s="31">
        <v>752</v>
      </c>
      <c r="S35" s="31">
        <v>678</v>
      </c>
      <c r="T35" s="31">
        <v>731</v>
      </c>
    </row>
    <row r="36" spans="1:20">
      <c r="A36" s="44"/>
      <c r="B36" s="44"/>
      <c r="C36" s="44"/>
      <c r="D36" s="44"/>
      <c r="E36" s="44"/>
      <c r="F36" s="44"/>
      <c r="G36" s="44"/>
      <c r="H36" s="44"/>
      <c r="I36" s="44"/>
      <c r="J36" s="44"/>
      <c r="K36" s="44"/>
      <c r="L36" s="44"/>
      <c r="M36" s="44"/>
      <c r="N36" s="36"/>
      <c r="O36" s="36"/>
      <c r="Q36" s="32">
        <v>44835</v>
      </c>
      <c r="R36" s="31">
        <v>725</v>
      </c>
      <c r="S36" s="31">
        <v>636.29999999999995</v>
      </c>
      <c r="T36" s="31">
        <v>622.5</v>
      </c>
    </row>
    <row r="37" spans="1:20" ht="18" customHeight="1">
      <c r="Q37" s="32">
        <v>44866</v>
      </c>
      <c r="R37" s="31">
        <v>665.6</v>
      </c>
      <c r="S37" s="31">
        <v>588.79999999999995</v>
      </c>
      <c r="T37" s="31">
        <v>563.1</v>
      </c>
    </row>
    <row r="38" spans="1:20">
      <c r="A38" s="2" t="s">
        <v>3</v>
      </c>
      <c r="Q38" s="32">
        <v>44896</v>
      </c>
      <c r="R38" s="31">
        <v>625</v>
      </c>
      <c r="S38" s="31">
        <v>519.4</v>
      </c>
      <c r="T38" s="31">
        <v>513.79999999999995</v>
      </c>
    </row>
    <row r="39" spans="1:20">
      <c r="Q39" s="32">
        <v>44927</v>
      </c>
      <c r="R39" s="31">
        <v>631</v>
      </c>
      <c r="S39" s="31">
        <v>443.8</v>
      </c>
      <c r="T39" s="31">
        <v>508.8</v>
      </c>
    </row>
    <row r="40" spans="1:20">
      <c r="Q40" s="32">
        <v>44958</v>
      </c>
      <c r="R40" s="31">
        <v>612.5</v>
      </c>
      <c r="S40" s="31">
        <v>357.5</v>
      </c>
      <c r="T40" s="31">
        <v>496.9</v>
      </c>
    </row>
    <row r="41" spans="1:20">
      <c r="Q41" s="32">
        <v>44986</v>
      </c>
      <c r="R41" s="31">
        <v>606</v>
      </c>
      <c r="S41" s="31">
        <v>313.5</v>
      </c>
      <c r="T41" s="31">
        <v>453</v>
      </c>
    </row>
    <row r="42" spans="1:20">
      <c r="Q42" s="32">
        <v>45017</v>
      </c>
      <c r="R42" s="31">
        <v>637</v>
      </c>
      <c r="S42" s="31">
        <v>313.39999999999998</v>
      </c>
      <c r="T42" s="31">
        <v>407.5</v>
      </c>
    </row>
    <row r="43" spans="1:20">
      <c r="Q43" s="32">
        <v>45047</v>
      </c>
      <c r="R43" s="31">
        <v>510</v>
      </c>
      <c r="S43" s="31">
        <v>329.3</v>
      </c>
      <c r="T43" s="31">
        <v>372.5</v>
      </c>
    </row>
    <row r="44" spans="1:20">
      <c r="Q44" s="32">
        <v>45078</v>
      </c>
      <c r="R44" s="31">
        <v>454.6</v>
      </c>
      <c r="S44" s="31">
        <v>287.5</v>
      </c>
      <c r="T44" s="31">
        <v>328</v>
      </c>
    </row>
    <row r="45" spans="1:20">
      <c r="Q45" s="32">
        <v>45108</v>
      </c>
      <c r="R45" s="31">
        <v>458.8</v>
      </c>
      <c r="S45" s="31">
        <v>334.6</v>
      </c>
      <c r="T45" s="31">
        <v>341.3</v>
      </c>
    </row>
    <row r="46" spans="1:20">
      <c r="Q46" s="32">
        <v>45139</v>
      </c>
      <c r="R46" s="31">
        <v>528.79999999999995</v>
      </c>
      <c r="S46" s="31">
        <v>385.6</v>
      </c>
      <c r="T46" s="31">
        <v>353.1</v>
      </c>
    </row>
    <row r="47" spans="1:20">
      <c r="Q47" s="32">
        <v>45170</v>
      </c>
      <c r="R47" s="31">
        <v>527.9</v>
      </c>
      <c r="S47" s="31">
        <v>380</v>
      </c>
      <c r="T47" s="31">
        <v>352</v>
      </c>
    </row>
    <row r="48" spans="1:20">
      <c r="Q48" s="32">
        <v>45200</v>
      </c>
      <c r="R48" s="31">
        <v>534.79999999999995</v>
      </c>
      <c r="S48" s="31">
        <v>411.4</v>
      </c>
      <c r="T48" s="31">
        <v>341.9</v>
      </c>
    </row>
    <row r="49" spans="17:20">
      <c r="Q49" s="32">
        <v>45231</v>
      </c>
      <c r="R49" s="31">
        <v>535.6</v>
      </c>
      <c r="S49" s="31">
        <v>385.5</v>
      </c>
      <c r="T49" s="31">
        <v>331.9</v>
      </c>
    </row>
    <row r="50" spans="17:20">
      <c r="Q50" s="32">
        <v>45261</v>
      </c>
      <c r="R50" s="31">
        <v>563.79999999999995</v>
      </c>
      <c r="S50" s="31">
        <v>354</v>
      </c>
      <c r="T50" s="31">
        <v>311.89999999999998</v>
      </c>
    </row>
    <row r="51" spans="17:20">
      <c r="Q51" s="32">
        <v>45292</v>
      </c>
      <c r="R51" s="31">
        <v>596.29999999999995</v>
      </c>
      <c r="S51" s="31">
        <v>335.4</v>
      </c>
      <c r="T51" s="31">
        <v>296.3</v>
      </c>
    </row>
    <row r="52" spans="17:20">
      <c r="Q52" s="32">
        <v>45323</v>
      </c>
      <c r="R52" s="31">
        <v>583.79999999999995</v>
      </c>
      <c r="S52" s="31">
        <v>351.3</v>
      </c>
      <c r="T52" s="31">
        <v>289.39999999999998</v>
      </c>
    </row>
    <row r="53" spans="17:20">
      <c r="Q53" s="32">
        <v>45352</v>
      </c>
      <c r="R53" s="31">
        <v>617.5</v>
      </c>
      <c r="S53" s="31">
        <v>330</v>
      </c>
      <c r="T53" s="31">
        <v>300.5</v>
      </c>
    </row>
    <row r="54" spans="17:20">
      <c r="Q54" s="32">
        <v>45383</v>
      </c>
      <c r="R54" s="31">
        <v>545</v>
      </c>
      <c r="S54" s="31">
        <v>320</v>
      </c>
      <c r="T54" s="31">
        <v>305</v>
      </c>
    </row>
    <row r="55" spans="17:20">
      <c r="Q55" s="32">
        <v>45413</v>
      </c>
      <c r="R55" s="31">
        <v>522</v>
      </c>
      <c r="S55" s="31">
        <v>284.8</v>
      </c>
      <c r="T55" s="31">
        <v>307</v>
      </c>
    </row>
    <row r="56" spans="17:20">
      <c r="Q56" s="32">
        <v>45444</v>
      </c>
      <c r="R56" s="31">
        <v>543</v>
      </c>
      <c r="S56" s="31">
        <v>336.3</v>
      </c>
      <c r="T56" s="31">
        <v>310</v>
      </c>
    </row>
    <row r="57" spans="17:20">
      <c r="Q57" s="32">
        <v>45474</v>
      </c>
      <c r="R57" s="31">
        <v>539.4</v>
      </c>
      <c r="S57" s="31">
        <v>342.5</v>
      </c>
      <c r="T57" s="31">
        <v>300.60000000000002</v>
      </c>
    </row>
    <row r="58" spans="17:20">
      <c r="Q58" s="32">
        <v>45505</v>
      </c>
      <c r="R58" s="31">
        <v>546</v>
      </c>
      <c r="S58" s="31">
        <v>342.5</v>
      </c>
      <c r="T58" s="31">
        <v>294</v>
      </c>
    </row>
    <row r="59" spans="17:20">
      <c r="Q59" s="32">
        <v>45536</v>
      </c>
      <c r="R59" s="31">
        <v>554.79999999999995</v>
      </c>
      <c r="S59" s="31">
        <v>337.5</v>
      </c>
      <c r="T59" s="31">
        <v>286.89999999999998</v>
      </c>
    </row>
    <row r="60" spans="17:20">
      <c r="Q60" s="32">
        <v>45566</v>
      </c>
      <c r="R60" s="31">
        <v>573.4</v>
      </c>
      <c r="S60" s="31">
        <v>374.8</v>
      </c>
      <c r="T60" s="31">
        <v>278.10000000000002</v>
      </c>
    </row>
    <row r="61" spans="17:20">
      <c r="Q61" s="32">
        <v>45598</v>
      </c>
      <c r="R61" s="31">
        <v>574.5</v>
      </c>
      <c r="S61" s="31">
        <v>352.3</v>
      </c>
      <c r="T61" s="31">
        <v>281</v>
      </c>
    </row>
    <row r="62" spans="17:20">
      <c r="Q62" s="32">
        <v>45630</v>
      </c>
      <c r="R62" s="31">
        <v>568.29999999999995</v>
      </c>
      <c r="S62" s="31">
        <v>352</v>
      </c>
      <c r="T62" s="31">
        <v>292.5</v>
      </c>
    </row>
    <row r="63" spans="17:20">
      <c r="Q63" s="32">
        <v>45662</v>
      </c>
      <c r="R63" s="31">
        <v>582.70000000000005</v>
      </c>
      <c r="S63" s="31">
        <v>380.5</v>
      </c>
      <c r="T63" s="31">
        <v>302</v>
      </c>
    </row>
    <row r="64" spans="17:20">
      <c r="Q64" s="32">
        <v>45694</v>
      </c>
      <c r="R64" s="31">
        <v>603.79999999999995</v>
      </c>
      <c r="S64" s="31">
        <v>436.5</v>
      </c>
      <c r="T64" s="31">
        <v>318.8</v>
      </c>
    </row>
    <row r="65" spans="17:20">
      <c r="Q65" s="32">
        <v>45726</v>
      </c>
      <c r="R65" s="31">
        <v>615.1</v>
      </c>
      <c r="S65" s="31">
        <v>394.5</v>
      </c>
      <c r="T65" s="31">
        <v>336.3</v>
      </c>
    </row>
    <row r="66" spans="17:20">
      <c r="Q66" s="32">
        <v>45758</v>
      </c>
      <c r="R66" s="31">
        <v>635</v>
      </c>
      <c r="S66" s="31">
        <v>386.9</v>
      </c>
      <c r="T66" s="31">
        <v>351.9</v>
      </c>
    </row>
    <row r="67" spans="17:20">
      <c r="Q67" s="32">
        <v>45790</v>
      </c>
      <c r="R67" s="31">
        <v>669.2</v>
      </c>
      <c r="S67" s="31">
        <v>392</v>
      </c>
      <c r="T67" s="31">
        <v>362.5</v>
      </c>
    </row>
    <row r="68" spans="17:20">
      <c r="Q68" s="32">
        <v>45822</v>
      </c>
      <c r="R68" s="31">
        <v>715.4</v>
      </c>
      <c r="S68" s="31">
        <v>420.5</v>
      </c>
      <c r="T68" s="31">
        <v>363.1</v>
      </c>
    </row>
    <row r="69" spans="17:20">
      <c r="Q69" s="32">
        <v>45854</v>
      </c>
      <c r="R69" s="31">
        <v>736</v>
      </c>
      <c r="S69" s="31">
        <v>496</v>
      </c>
      <c r="T69" s="31">
        <v>362.5</v>
      </c>
    </row>
    <row r="70" spans="17:20">
      <c r="Q70" s="32">
        <v>45886</v>
      </c>
      <c r="R70" s="31">
        <v>795.1</v>
      </c>
      <c r="S70" s="31">
        <v>507.7</v>
      </c>
      <c r="T70" s="31">
        <v>356.5</v>
      </c>
    </row>
    <row r="71" spans="17:20">
      <c r="Q71" s="32">
        <v>45918</v>
      </c>
      <c r="R71" s="31">
        <v>780.6</v>
      </c>
      <c r="S71" s="31">
        <v>461.1</v>
      </c>
      <c r="T71" s="31">
        <v>352.5</v>
      </c>
    </row>
    <row r="72" spans="17:20">
      <c r="Q72" s="32">
        <v>45950</v>
      </c>
      <c r="R72" s="31">
        <v>754</v>
      </c>
      <c r="S72" s="31">
        <v>394.4</v>
      </c>
      <c r="T72" s="31">
        <v>352</v>
      </c>
    </row>
    <row r="73" spans="17:20">
      <c r="Q73" s="32">
        <v>45982</v>
      </c>
      <c r="R73" s="34">
        <v>708.3</v>
      </c>
      <c r="S73" s="34">
        <v>409.3</v>
      </c>
      <c r="T73" s="34">
        <v>353.8</v>
      </c>
    </row>
    <row r="74" spans="17:20">
      <c r="Q74" s="32">
        <v>46014</v>
      </c>
      <c r="R74" s="34">
        <v>627.5</v>
      </c>
      <c r="S74" s="34">
        <v>392.5</v>
      </c>
      <c r="T74" s="34">
        <v>358.3</v>
      </c>
    </row>
    <row r="75" spans="17:20">
      <c r="Q75" s="32">
        <v>46046</v>
      </c>
      <c r="R75" s="34">
        <v>619.20000000000005</v>
      </c>
      <c r="S75" s="34">
        <v>415.4</v>
      </c>
      <c r="T75" s="34">
        <v>366</v>
      </c>
    </row>
    <row r="76" spans="17:20">
      <c r="Q76" s="32">
        <v>46078</v>
      </c>
      <c r="R76" s="34">
        <v>626.5</v>
      </c>
      <c r="S76" s="34">
        <v>472</v>
      </c>
      <c r="T76" s="34">
        <v>372.5</v>
      </c>
    </row>
    <row r="77" spans="17:20">
      <c r="Q77" s="32">
        <v>46110</v>
      </c>
      <c r="R77" s="34">
        <v>658.3</v>
      </c>
      <c r="S77" s="34">
        <v>725.6</v>
      </c>
      <c r="T77" s="34">
        <v>380.6</v>
      </c>
    </row>
    <row r="78" spans="17:20">
      <c r="Q78" s="32"/>
      <c r="R78" s="31"/>
      <c r="S78" s="31"/>
      <c r="T78" s="31"/>
    </row>
    <row r="79" spans="17:20">
      <c r="Q79" s="32"/>
      <c r="R79" s="31"/>
      <c r="S79" s="31"/>
      <c r="T79" s="31"/>
    </row>
    <row r="80" spans="17:20">
      <c r="Q80" s="32"/>
      <c r="R80" s="31"/>
      <c r="S80" s="31"/>
      <c r="T80" s="31"/>
    </row>
    <row r="81" spans="17:20">
      <c r="Q81" s="32"/>
      <c r="R81" s="31"/>
      <c r="S81" s="31"/>
      <c r="T81" s="31"/>
    </row>
    <row r="82" spans="17:20">
      <c r="Q82" s="32"/>
      <c r="R82" s="31"/>
      <c r="S82" s="31"/>
      <c r="T82" s="31"/>
    </row>
    <row r="83" spans="17:20">
      <c r="Q83" s="32"/>
      <c r="R83" s="31"/>
      <c r="S83" s="31"/>
      <c r="T83" s="31"/>
    </row>
    <row r="84" spans="17:20">
      <c r="Q84" s="32"/>
      <c r="R84" s="31"/>
      <c r="S84" s="31"/>
      <c r="T84" s="31"/>
    </row>
    <row r="85" spans="17:20">
      <c r="Q85" s="32"/>
      <c r="R85" s="31"/>
      <c r="S85" s="31"/>
      <c r="T85" s="31"/>
    </row>
    <row r="86" spans="17:20">
      <c r="Q86" s="32"/>
      <c r="R86" s="31"/>
      <c r="S86" s="31"/>
      <c r="T86" s="31"/>
    </row>
    <row r="87" spans="17:20">
      <c r="Q87" s="32"/>
      <c r="R87" s="31"/>
      <c r="S87" s="31"/>
      <c r="T87" s="31"/>
    </row>
    <row r="88" spans="17:20">
      <c r="Q88" s="32"/>
      <c r="R88" s="31"/>
      <c r="S88" s="31"/>
      <c r="T88" s="31"/>
    </row>
    <row r="89" spans="17:20">
      <c r="Q89" s="32"/>
      <c r="R89" s="31"/>
      <c r="S89" s="31"/>
      <c r="T89" s="31"/>
    </row>
    <row r="90" spans="17:20">
      <c r="Q90" s="32"/>
      <c r="R90" s="31"/>
      <c r="S90" s="31"/>
      <c r="T90" s="31"/>
    </row>
    <row r="91" spans="17:20">
      <c r="Q91" s="32"/>
      <c r="R91" s="31"/>
      <c r="S91" s="31"/>
      <c r="T91" s="31"/>
    </row>
    <row r="92" spans="17:20">
      <c r="Q92" s="32"/>
      <c r="R92" s="31"/>
      <c r="S92" s="31"/>
      <c r="T92" s="31"/>
    </row>
    <row r="93" spans="17:20">
      <c r="Q93" s="32"/>
      <c r="R93" s="31"/>
      <c r="S93" s="31"/>
      <c r="T93" s="31"/>
    </row>
    <row r="94" spans="17:20">
      <c r="Q94" s="32"/>
      <c r="R94" s="31"/>
      <c r="S94" s="31"/>
      <c r="T94" s="31"/>
    </row>
    <row r="95" spans="17:20">
      <c r="Q95" s="32"/>
      <c r="R95" s="31"/>
      <c r="S95" s="31"/>
      <c r="T95" s="31"/>
    </row>
    <row r="96" spans="17:20">
      <c r="Q96" s="32"/>
      <c r="R96" s="31"/>
      <c r="S96" s="31"/>
      <c r="T96" s="31"/>
    </row>
    <row r="97" spans="17:20">
      <c r="Q97" s="32"/>
      <c r="R97" s="31"/>
      <c r="S97" s="31"/>
      <c r="T97" s="31"/>
    </row>
    <row r="98" spans="17:20">
      <c r="Q98" s="32"/>
      <c r="R98" s="31"/>
      <c r="S98" s="31"/>
      <c r="T98" s="31"/>
    </row>
    <row r="99" spans="17:20">
      <c r="Q99" s="32"/>
      <c r="R99" s="31"/>
      <c r="S99" s="31"/>
      <c r="T99" s="31"/>
    </row>
    <row r="100" spans="17:20">
      <c r="Q100" s="32"/>
      <c r="R100" s="31"/>
      <c r="S100" s="31"/>
      <c r="T100" s="31"/>
    </row>
    <row r="101" spans="17:20">
      <c r="Q101" s="32"/>
      <c r="R101" s="31"/>
      <c r="S101" s="31"/>
      <c r="T101" s="31"/>
    </row>
    <row r="102" spans="17:20">
      <c r="Q102" s="32"/>
      <c r="R102" s="31"/>
      <c r="S102" s="31"/>
      <c r="T102" s="31"/>
    </row>
    <row r="103" spans="17:20">
      <c r="Q103" s="32"/>
      <c r="R103" s="31"/>
      <c r="S103" s="31"/>
      <c r="T103" s="31"/>
    </row>
    <row r="104" spans="17:20">
      <c r="Q104" s="32"/>
      <c r="R104" s="31"/>
      <c r="S104" s="31"/>
      <c r="T104" s="31"/>
    </row>
    <row r="105" spans="17:20">
      <c r="Q105" s="32"/>
      <c r="R105" s="31"/>
      <c r="S105" s="31"/>
      <c r="T105" s="31"/>
    </row>
    <row r="106" spans="17:20">
      <c r="Q106" s="32"/>
      <c r="R106" s="31"/>
      <c r="S106" s="31"/>
      <c r="T106" s="31"/>
    </row>
    <row r="107" spans="17:20">
      <c r="Q107" s="32"/>
      <c r="R107" s="31"/>
      <c r="S107" s="31"/>
      <c r="T107" s="31"/>
    </row>
    <row r="108" spans="17:20">
      <c r="Q108" s="32"/>
      <c r="R108" s="31"/>
      <c r="S108" s="31"/>
      <c r="T108" s="31"/>
    </row>
    <row r="109" spans="17:20">
      <c r="Q109" s="32"/>
      <c r="R109" s="31"/>
      <c r="S109" s="31"/>
      <c r="T109" s="31"/>
    </row>
    <row r="110" spans="17:20">
      <c r="Q110" s="32"/>
      <c r="R110" s="31"/>
      <c r="S110" s="31"/>
      <c r="T110" s="31"/>
    </row>
    <row r="111" spans="17:20">
      <c r="Q111" s="32"/>
      <c r="R111" s="31"/>
      <c r="S111" s="31"/>
      <c r="T111" s="31"/>
    </row>
    <row r="112" spans="17:20">
      <c r="Q112" s="32"/>
      <c r="R112" s="31"/>
      <c r="S112" s="31"/>
      <c r="T112" s="31"/>
    </row>
    <row r="113" spans="17:20">
      <c r="Q113" s="32"/>
      <c r="R113" s="31"/>
      <c r="S113" s="31"/>
      <c r="T113" s="31"/>
    </row>
    <row r="114" spans="17:20">
      <c r="Q114" s="32"/>
      <c r="R114" s="31"/>
      <c r="S114" s="31"/>
      <c r="T114" s="31"/>
    </row>
    <row r="115" spans="17:20">
      <c r="Q115" s="32"/>
      <c r="R115" s="31"/>
      <c r="S115" s="31"/>
      <c r="T115" s="31"/>
    </row>
    <row r="116" spans="17:20">
      <c r="Q116" s="32"/>
      <c r="R116" s="31"/>
      <c r="S116" s="31"/>
      <c r="T116" s="31"/>
    </row>
    <row r="117" spans="17:20">
      <c r="Q117" s="32"/>
      <c r="R117" s="31"/>
      <c r="S117" s="31"/>
      <c r="T117" s="31"/>
    </row>
    <row r="118" spans="17:20">
      <c r="Q118" s="32"/>
      <c r="R118" s="31"/>
      <c r="S118" s="31"/>
      <c r="T118" s="31"/>
    </row>
    <row r="119" spans="17:20">
      <c r="Q119" s="32"/>
      <c r="R119" s="31"/>
      <c r="S119" s="31"/>
      <c r="T119" s="31"/>
    </row>
    <row r="120" spans="17:20">
      <c r="Q120" s="32"/>
      <c r="R120" s="31"/>
      <c r="S120" s="31"/>
      <c r="T120" s="31"/>
    </row>
    <row r="121" spans="17:20">
      <c r="Q121" s="32"/>
      <c r="R121" s="31"/>
      <c r="S121" s="31"/>
      <c r="T121" s="31"/>
    </row>
  </sheetData>
  <mergeCells count="1">
    <mergeCell ref="A35:M36"/>
  </mergeCells>
  <hyperlinks>
    <hyperlink ref="A38" location="'Read Me'!A1" display="Return to Read Me" xr:uid="{214208D6-C61A-42F0-95FB-4816168D2009}"/>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8F5A9-79A6-4AFF-ADD4-20177E4409BB}">
  <sheetPr codeName="Sheet5"/>
  <dimension ref="A1:Z110"/>
  <sheetViews>
    <sheetView zoomScale="70" zoomScaleNormal="70" workbookViewId="0"/>
  </sheetViews>
  <sheetFormatPr defaultColWidth="8.85546875" defaultRowHeight="18"/>
  <cols>
    <col min="1" max="17" width="8.85546875" style="31"/>
    <col min="18" max="18" width="24.28515625" style="31" customWidth="1"/>
    <col min="19" max="19" width="24.85546875" style="31" customWidth="1"/>
    <col min="20" max="20" width="29.28515625" style="31" customWidth="1"/>
    <col min="21" max="21" width="9" style="31" bestFit="1" customWidth="1"/>
    <col min="22" max="16384" width="8.85546875" style="31"/>
  </cols>
  <sheetData>
    <row r="1" spans="1:21" customFormat="1" ht="26.25">
      <c r="A1" s="9" t="s">
        <v>45</v>
      </c>
    </row>
    <row r="2" spans="1:21">
      <c r="S2" s="38" t="s">
        <v>4</v>
      </c>
      <c r="T2" s="38" t="s">
        <v>5</v>
      </c>
      <c r="U2" s="38" t="s">
        <v>6</v>
      </c>
    </row>
    <row r="3" spans="1:21">
      <c r="R3" s="32">
        <v>43831</v>
      </c>
      <c r="S3" s="31">
        <v>250</v>
      </c>
      <c r="T3" s="31">
        <v>39</v>
      </c>
      <c r="U3" s="31">
        <v>3.6</v>
      </c>
    </row>
    <row r="4" spans="1:21">
      <c r="R4" s="32">
        <v>43862</v>
      </c>
      <c r="S4" s="31">
        <v>250</v>
      </c>
      <c r="T4" s="31">
        <v>36</v>
      </c>
      <c r="U4" s="31">
        <v>2.9</v>
      </c>
    </row>
    <row r="5" spans="1:21">
      <c r="R5" s="32">
        <v>43891</v>
      </c>
      <c r="S5" s="31">
        <v>250</v>
      </c>
      <c r="T5" s="31">
        <v>36</v>
      </c>
      <c r="U5" s="31">
        <v>2.7</v>
      </c>
    </row>
    <row r="6" spans="1:21">
      <c r="R6" s="32">
        <v>43922</v>
      </c>
      <c r="S6" s="31">
        <v>246.6</v>
      </c>
      <c r="T6" s="31">
        <v>44.2</v>
      </c>
      <c r="U6" s="31">
        <v>2.1</v>
      </c>
    </row>
    <row r="7" spans="1:21">
      <c r="R7" s="32">
        <v>43952</v>
      </c>
      <c r="S7" s="31">
        <v>234.2</v>
      </c>
      <c r="T7" s="31">
        <v>54</v>
      </c>
      <c r="U7" s="31">
        <v>1.6</v>
      </c>
    </row>
    <row r="8" spans="1:21">
      <c r="R8" s="32">
        <v>43983</v>
      </c>
      <c r="S8" s="31">
        <v>216.2</v>
      </c>
      <c r="T8" s="31">
        <v>54</v>
      </c>
      <c r="U8" s="31">
        <v>1.8</v>
      </c>
    </row>
    <row r="9" spans="1:21">
      <c r="R9" s="32">
        <v>44013</v>
      </c>
      <c r="S9" s="31">
        <v>205</v>
      </c>
      <c r="T9" s="31">
        <v>56.4</v>
      </c>
      <c r="U9" s="31">
        <v>1.8</v>
      </c>
    </row>
    <row r="10" spans="1:21">
      <c r="R10" s="32">
        <v>44044</v>
      </c>
      <c r="S10" s="31">
        <v>205.7</v>
      </c>
      <c r="T10" s="31">
        <v>57.5</v>
      </c>
      <c r="U10" s="31">
        <v>2.9</v>
      </c>
    </row>
    <row r="11" spans="1:21" ht="20.65" customHeight="1">
      <c r="R11" s="32">
        <v>44075</v>
      </c>
      <c r="S11" s="31">
        <v>212</v>
      </c>
      <c r="T11" s="31">
        <v>57.5</v>
      </c>
      <c r="U11" s="31">
        <v>4</v>
      </c>
    </row>
    <row r="12" spans="1:21" ht="22.5" customHeight="1">
      <c r="R12" s="32">
        <v>44105</v>
      </c>
      <c r="S12" s="31">
        <v>229.2</v>
      </c>
      <c r="T12" s="31">
        <v>65.900000000000006</v>
      </c>
      <c r="U12" s="31">
        <v>4.9000000000000004</v>
      </c>
    </row>
    <row r="13" spans="1:21">
      <c r="R13" s="32">
        <v>44136</v>
      </c>
      <c r="S13" s="31">
        <v>235</v>
      </c>
      <c r="T13" s="31">
        <v>69</v>
      </c>
      <c r="U13" s="31">
        <v>4.8</v>
      </c>
    </row>
    <row r="14" spans="1:21" ht="18.600000000000001" customHeight="1">
      <c r="R14" s="32">
        <v>44166</v>
      </c>
      <c r="S14" s="31">
        <v>252.4</v>
      </c>
      <c r="T14" s="31">
        <v>69</v>
      </c>
      <c r="U14" s="31">
        <v>5.9</v>
      </c>
    </row>
    <row r="15" spans="1:21">
      <c r="R15" s="32">
        <v>44197</v>
      </c>
      <c r="S15" s="31">
        <v>272.89999999999998</v>
      </c>
      <c r="T15" s="31">
        <v>89.6</v>
      </c>
      <c r="U15" s="31">
        <v>7.3</v>
      </c>
    </row>
    <row r="16" spans="1:21">
      <c r="R16" s="32">
        <v>44228</v>
      </c>
      <c r="S16" s="31">
        <v>330</v>
      </c>
      <c r="T16" s="31">
        <v>96</v>
      </c>
      <c r="U16" s="31">
        <v>6.2</v>
      </c>
    </row>
    <row r="17" spans="18:21">
      <c r="R17" s="32">
        <v>44256</v>
      </c>
      <c r="S17" s="31">
        <v>442.4</v>
      </c>
      <c r="T17" s="31">
        <v>96</v>
      </c>
      <c r="U17" s="31">
        <v>6.1</v>
      </c>
    </row>
    <row r="18" spans="18:21">
      <c r="R18" s="32">
        <v>44287</v>
      </c>
      <c r="S18" s="31">
        <v>545</v>
      </c>
      <c r="T18" s="31">
        <v>165.8</v>
      </c>
      <c r="U18" s="31">
        <v>7.1</v>
      </c>
    </row>
    <row r="19" spans="18:21">
      <c r="R19" s="32">
        <v>44317</v>
      </c>
      <c r="S19" s="31">
        <v>544</v>
      </c>
      <c r="T19" s="31">
        <v>192</v>
      </c>
      <c r="U19" s="31">
        <v>8.9</v>
      </c>
    </row>
    <row r="20" spans="18:21">
      <c r="R20" s="32">
        <v>44348</v>
      </c>
      <c r="S20" s="31">
        <v>544.1</v>
      </c>
      <c r="T20" s="31">
        <v>192</v>
      </c>
      <c r="U20" s="31">
        <v>10.3</v>
      </c>
    </row>
    <row r="21" spans="18:21">
      <c r="R21" s="32">
        <v>44378</v>
      </c>
      <c r="S21" s="31">
        <v>586.79999999999995</v>
      </c>
      <c r="T21" s="31">
        <v>193.5</v>
      </c>
      <c r="U21" s="31">
        <v>12.5</v>
      </c>
    </row>
    <row r="22" spans="18:21">
      <c r="R22" s="32">
        <v>44409</v>
      </c>
      <c r="S22" s="31">
        <v>623.6</v>
      </c>
      <c r="T22" s="31">
        <v>195</v>
      </c>
      <c r="U22" s="31">
        <v>15.4</v>
      </c>
    </row>
    <row r="23" spans="18:21" ht="19.5" customHeight="1">
      <c r="R23" s="32">
        <v>44440</v>
      </c>
      <c r="S23" s="31">
        <v>615</v>
      </c>
      <c r="T23" s="31">
        <v>192.3</v>
      </c>
      <c r="U23" s="31">
        <v>22.8</v>
      </c>
    </row>
    <row r="24" spans="18:21">
      <c r="R24" s="32">
        <v>44470</v>
      </c>
      <c r="S24" s="31">
        <v>672.6</v>
      </c>
      <c r="T24" s="31">
        <v>183</v>
      </c>
      <c r="U24" s="31">
        <v>31.1</v>
      </c>
    </row>
    <row r="25" spans="18:21" ht="19.5" customHeight="1">
      <c r="R25" s="32">
        <v>44501</v>
      </c>
      <c r="S25" s="31">
        <v>847.5</v>
      </c>
      <c r="T25" s="31">
        <v>183</v>
      </c>
      <c r="U25" s="31">
        <v>27.6</v>
      </c>
    </row>
    <row r="26" spans="18:21" ht="18.600000000000001" customHeight="1">
      <c r="R26" s="32">
        <v>44531</v>
      </c>
      <c r="S26" s="31">
        <v>990</v>
      </c>
      <c r="T26" s="31">
        <v>183</v>
      </c>
      <c r="U26" s="31">
        <v>38</v>
      </c>
    </row>
    <row r="27" spans="18:21" ht="15" customHeight="1">
      <c r="R27" s="32">
        <v>44562</v>
      </c>
      <c r="S27" s="31">
        <v>1093.0999999999999</v>
      </c>
      <c r="T27" s="31">
        <v>263.10000000000002</v>
      </c>
      <c r="U27" s="31">
        <v>28.3</v>
      </c>
    </row>
    <row r="28" spans="18:21">
      <c r="R28" s="32">
        <v>44593</v>
      </c>
      <c r="S28" s="31">
        <v>1135</v>
      </c>
      <c r="T28" s="31">
        <v>282</v>
      </c>
      <c r="U28" s="31">
        <v>27.2</v>
      </c>
    </row>
    <row r="29" spans="18:21" ht="15" customHeight="1">
      <c r="R29" s="32">
        <v>44621</v>
      </c>
      <c r="S29" s="31">
        <v>1241.5</v>
      </c>
      <c r="T29" s="31">
        <v>282</v>
      </c>
      <c r="U29" s="31">
        <v>42.4</v>
      </c>
    </row>
    <row r="30" spans="18:21" ht="21" customHeight="1">
      <c r="R30" s="32">
        <v>44652</v>
      </c>
      <c r="S30" s="31">
        <v>1567.9</v>
      </c>
      <c r="T30" s="31">
        <v>481</v>
      </c>
      <c r="U30" s="31">
        <v>32.200000000000003</v>
      </c>
    </row>
    <row r="31" spans="18:21">
      <c r="R31" s="32">
        <v>44682</v>
      </c>
      <c r="S31" s="31">
        <v>1367</v>
      </c>
      <c r="T31" s="31">
        <v>481</v>
      </c>
      <c r="U31" s="31">
        <v>29.2</v>
      </c>
    </row>
    <row r="32" spans="18:21">
      <c r="R32" s="32">
        <v>44713</v>
      </c>
      <c r="S32" s="31">
        <v>1000</v>
      </c>
      <c r="T32" s="31">
        <v>481</v>
      </c>
      <c r="U32" s="31">
        <v>33.6</v>
      </c>
    </row>
    <row r="33" spans="1:21">
      <c r="A33" s="45" t="s">
        <v>7</v>
      </c>
      <c r="B33" s="45"/>
      <c r="C33" s="45"/>
      <c r="D33" s="45"/>
      <c r="E33" s="45"/>
      <c r="R33" s="32">
        <v>44743</v>
      </c>
      <c r="S33" s="31">
        <v>966.7</v>
      </c>
      <c r="T33" s="31">
        <v>413.4</v>
      </c>
      <c r="U33" s="31">
        <v>51.3</v>
      </c>
    </row>
    <row r="34" spans="1:21" ht="17.25" customHeight="1">
      <c r="A34" s="44" t="s">
        <v>54</v>
      </c>
      <c r="B34" s="44"/>
      <c r="C34" s="44"/>
      <c r="D34" s="44"/>
      <c r="E34" s="44"/>
      <c r="F34" s="44"/>
      <c r="G34" s="44"/>
      <c r="H34" s="44"/>
      <c r="I34" s="44"/>
      <c r="J34" s="44"/>
      <c r="K34" s="44"/>
      <c r="L34" s="44"/>
      <c r="M34" s="44"/>
      <c r="N34" s="44"/>
      <c r="O34" s="39"/>
      <c r="R34" s="32">
        <v>44774</v>
      </c>
      <c r="S34" s="31">
        <v>1108.7</v>
      </c>
      <c r="T34" s="31">
        <v>352</v>
      </c>
      <c r="U34" s="31">
        <v>70</v>
      </c>
    </row>
    <row r="35" spans="1:21">
      <c r="A35" s="44"/>
      <c r="B35" s="44"/>
      <c r="C35" s="44"/>
      <c r="D35" s="44"/>
      <c r="E35" s="44"/>
      <c r="F35" s="44"/>
      <c r="G35" s="44"/>
      <c r="H35" s="44"/>
      <c r="I35" s="44"/>
      <c r="J35" s="44"/>
      <c r="K35" s="44"/>
      <c r="L35" s="44"/>
      <c r="M35" s="44"/>
      <c r="N35" s="44"/>
      <c r="O35" s="39"/>
      <c r="R35" s="32">
        <v>44805</v>
      </c>
      <c r="S35" s="31">
        <v>1151.0999999999999</v>
      </c>
      <c r="T35" s="31">
        <v>352</v>
      </c>
      <c r="U35" s="31">
        <v>59.1</v>
      </c>
    </row>
    <row r="36" spans="1:21">
      <c r="R36" s="32">
        <v>44835</v>
      </c>
      <c r="S36" s="31">
        <v>1172.5999999999999</v>
      </c>
      <c r="T36" s="31">
        <v>202.3</v>
      </c>
      <c r="U36" s="31">
        <v>39</v>
      </c>
    </row>
    <row r="37" spans="1:21">
      <c r="A37" s="2" t="s">
        <v>3</v>
      </c>
      <c r="R37" s="32">
        <v>44866</v>
      </c>
      <c r="S37" s="31">
        <v>1150</v>
      </c>
      <c r="T37" s="31">
        <v>90</v>
      </c>
      <c r="U37" s="31">
        <v>35.700000000000003</v>
      </c>
    </row>
    <row r="38" spans="1:21">
      <c r="R38" s="32">
        <v>44896</v>
      </c>
      <c r="S38" s="31">
        <v>1035.5</v>
      </c>
      <c r="T38" s="31">
        <v>90</v>
      </c>
      <c r="U38" s="31">
        <v>36</v>
      </c>
    </row>
    <row r="39" spans="1:21">
      <c r="R39" s="32">
        <v>44927</v>
      </c>
      <c r="S39" s="31">
        <v>959.8</v>
      </c>
      <c r="T39" s="31">
        <v>104.5</v>
      </c>
      <c r="U39" s="31">
        <v>20.2</v>
      </c>
    </row>
    <row r="40" spans="1:21">
      <c r="R40" s="32">
        <v>44958</v>
      </c>
      <c r="S40" s="31">
        <v>760</v>
      </c>
      <c r="T40" s="31">
        <v>130</v>
      </c>
      <c r="U40" s="31">
        <v>16.5</v>
      </c>
    </row>
    <row r="41" spans="1:21">
      <c r="R41" s="32">
        <v>44986</v>
      </c>
      <c r="S41" s="31">
        <v>583.29999999999995</v>
      </c>
      <c r="T41" s="31">
        <v>130</v>
      </c>
      <c r="U41" s="31">
        <v>13.8</v>
      </c>
    </row>
    <row r="42" spans="1:21">
      <c r="R42" s="32">
        <v>45017</v>
      </c>
      <c r="S42" s="31">
        <v>432.3</v>
      </c>
      <c r="T42" s="31">
        <v>121.9</v>
      </c>
      <c r="U42" s="31">
        <v>13.5</v>
      </c>
    </row>
    <row r="43" spans="1:21">
      <c r="R43" s="32">
        <v>45047</v>
      </c>
      <c r="S43" s="31">
        <v>373</v>
      </c>
      <c r="T43" s="31">
        <v>103</v>
      </c>
      <c r="U43" s="31">
        <v>10.1</v>
      </c>
    </row>
    <row r="44" spans="1:21">
      <c r="R44" s="32">
        <v>45078</v>
      </c>
      <c r="S44" s="31">
        <v>337.5</v>
      </c>
      <c r="T44" s="31">
        <v>103</v>
      </c>
      <c r="U44" s="31">
        <v>10.4</v>
      </c>
    </row>
    <row r="45" spans="1:21">
      <c r="R45" s="32">
        <v>45108</v>
      </c>
      <c r="S45" s="31">
        <v>286</v>
      </c>
      <c r="T45" s="31">
        <v>75.599999999999994</v>
      </c>
      <c r="U45" s="31">
        <v>9.5</v>
      </c>
    </row>
    <row r="46" spans="1:21">
      <c r="R46" s="32">
        <v>45139</v>
      </c>
      <c r="S46" s="31">
        <v>295</v>
      </c>
      <c r="T46" s="31">
        <v>55</v>
      </c>
      <c r="U46" s="31">
        <v>11.2</v>
      </c>
    </row>
    <row r="47" spans="1:21">
      <c r="R47" s="32">
        <v>45170</v>
      </c>
      <c r="S47" s="31">
        <v>398.8</v>
      </c>
      <c r="T47" s="31">
        <v>55</v>
      </c>
      <c r="U47" s="31">
        <v>11.5</v>
      </c>
    </row>
    <row r="48" spans="1:21">
      <c r="R48" s="32">
        <v>45200</v>
      </c>
      <c r="S48" s="31">
        <v>581.79999999999995</v>
      </c>
      <c r="T48" s="31">
        <v>82.8</v>
      </c>
      <c r="U48" s="31">
        <v>14.6</v>
      </c>
    </row>
    <row r="49" spans="18:21">
      <c r="R49" s="32">
        <v>45231</v>
      </c>
      <c r="S49" s="31">
        <v>625</v>
      </c>
      <c r="T49" s="31">
        <v>102</v>
      </c>
      <c r="U49" s="31">
        <v>14.5</v>
      </c>
    </row>
    <row r="50" spans="18:21">
      <c r="R50" s="32">
        <v>45261</v>
      </c>
      <c r="S50" s="31">
        <v>596.4</v>
      </c>
      <c r="T50" s="31">
        <v>102</v>
      </c>
      <c r="U50" s="31">
        <v>11.5</v>
      </c>
    </row>
    <row r="51" spans="18:21">
      <c r="R51" s="32">
        <v>45292</v>
      </c>
      <c r="S51" s="31">
        <v>511.1</v>
      </c>
      <c r="T51" s="31">
        <v>81.900000000000006</v>
      </c>
      <c r="U51" s="31">
        <v>9.6</v>
      </c>
    </row>
    <row r="52" spans="18:21">
      <c r="R52" s="32">
        <v>45323</v>
      </c>
      <c r="S52" s="31">
        <v>445</v>
      </c>
      <c r="T52" s="31">
        <v>69</v>
      </c>
      <c r="U52" s="31">
        <v>8.1</v>
      </c>
    </row>
    <row r="53" spans="18:21">
      <c r="R53" s="32">
        <v>45352</v>
      </c>
      <c r="S53" s="31">
        <v>446.2</v>
      </c>
      <c r="T53" s="31">
        <v>75.3</v>
      </c>
      <c r="U53" s="31">
        <v>8.6</v>
      </c>
    </row>
    <row r="54" spans="18:21">
      <c r="R54" s="32">
        <v>45383</v>
      </c>
      <c r="S54" s="31">
        <v>475</v>
      </c>
      <c r="T54" s="31">
        <v>81</v>
      </c>
      <c r="U54" s="31">
        <v>9.1</v>
      </c>
    </row>
    <row r="55" spans="18:21">
      <c r="R55" s="32">
        <v>45413</v>
      </c>
      <c r="S55" s="31">
        <v>450</v>
      </c>
      <c r="T55" s="31">
        <v>81</v>
      </c>
      <c r="U55" s="31">
        <v>10.1</v>
      </c>
    </row>
    <row r="56" spans="18:21">
      <c r="R56" s="32">
        <v>45444</v>
      </c>
      <c r="S56" s="31">
        <v>400</v>
      </c>
      <c r="T56" s="31">
        <v>81</v>
      </c>
      <c r="U56" s="31">
        <v>10.9</v>
      </c>
    </row>
    <row r="57" spans="18:21">
      <c r="R57" s="32">
        <v>45474</v>
      </c>
      <c r="S57" s="31">
        <v>422.8</v>
      </c>
      <c r="T57" s="31">
        <v>76.900000000000006</v>
      </c>
      <c r="U57" s="31">
        <v>10.3</v>
      </c>
    </row>
    <row r="58" spans="18:21">
      <c r="R58" s="32">
        <v>45505</v>
      </c>
      <c r="S58" s="31">
        <v>477.5</v>
      </c>
      <c r="T58" s="31">
        <v>76</v>
      </c>
      <c r="U58" s="31">
        <v>12.4</v>
      </c>
    </row>
    <row r="59" spans="18:21">
      <c r="R59" s="32">
        <v>45536</v>
      </c>
      <c r="S59" s="31">
        <v>532.9</v>
      </c>
      <c r="T59" s="31">
        <v>76</v>
      </c>
      <c r="U59" s="31">
        <v>11.8</v>
      </c>
    </row>
    <row r="60" spans="18:21">
      <c r="R60" s="32">
        <v>45566</v>
      </c>
      <c r="S60" s="31">
        <v>560</v>
      </c>
      <c r="T60" s="31">
        <v>110.8</v>
      </c>
      <c r="U60" s="31">
        <v>12.9</v>
      </c>
    </row>
    <row r="61" spans="18:21">
      <c r="R61" s="32">
        <v>45597</v>
      </c>
      <c r="S61" s="31">
        <v>560.4</v>
      </c>
      <c r="T61" s="31">
        <v>116</v>
      </c>
      <c r="U61" s="31">
        <v>13.9</v>
      </c>
    </row>
    <row r="62" spans="18:21">
      <c r="R62" s="32">
        <v>45627</v>
      </c>
      <c r="S62" s="31">
        <v>570</v>
      </c>
      <c r="T62" s="31">
        <v>116</v>
      </c>
      <c r="U62" s="31">
        <v>13.9</v>
      </c>
    </row>
    <row r="63" spans="18:21">
      <c r="R63" s="32">
        <v>45658</v>
      </c>
      <c r="S63" s="31">
        <v>535</v>
      </c>
      <c r="T63" s="31">
        <v>139.4</v>
      </c>
      <c r="U63" s="31">
        <v>14.7</v>
      </c>
    </row>
    <row r="64" spans="18:21">
      <c r="R64" s="32">
        <v>45689</v>
      </c>
      <c r="S64" s="31">
        <v>498</v>
      </c>
      <c r="T64" s="31">
        <v>165</v>
      </c>
      <c r="U64" s="31">
        <v>15.3</v>
      </c>
    </row>
    <row r="65" spans="18:21">
      <c r="R65" s="32">
        <v>45717</v>
      </c>
      <c r="S65" s="31">
        <v>457.6</v>
      </c>
      <c r="T65" s="31">
        <v>165</v>
      </c>
      <c r="U65" s="31">
        <v>13.2</v>
      </c>
    </row>
    <row r="66" spans="18:21">
      <c r="R66" s="32">
        <v>45748</v>
      </c>
      <c r="S66" s="31">
        <v>435</v>
      </c>
      <c r="T66" s="31">
        <v>255.7</v>
      </c>
      <c r="U66" s="31">
        <v>11.6</v>
      </c>
    </row>
    <row r="67" spans="18:21">
      <c r="R67" s="32">
        <v>45778</v>
      </c>
      <c r="S67" s="31">
        <v>415.9</v>
      </c>
      <c r="T67" s="31">
        <v>270</v>
      </c>
      <c r="U67" s="31">
        <v>11.7</v>
      </c>
    </row>
    <row r="68" spans="18:21">
      <c r="R68" s="32">
        <v>45809</v>
      </c>
      <c r="S68" s="31">
        <v>398.8</v>
      </c>
      <c r="T68" s="31">
        <v>270</v>
      </c>
      <c r="U68" s="31">
        <v>12.4</v>
      </c>
    </row>
    <row r="69" spans="18:21">
      <c r="R69" s="32">
        <v>45839</v>
      </c>
      <c r="S69" s="31">
        <v>432</v>
      </c>
      <c r="T69" s="31">
        <v>254.3</v>
      </c>
      <c r="U69" s="31">
        <v>11.6</v>
      </c>
    </row>
    <row r="70" spans="18:21">
      <c r="R70" s="32">
        <v>45870</v>
      </c>
      <c r="S70" s="31">
        <v>489.5</v>
      </c>
      <c r="T70" s="31">
        <v>252</v>
      </c>
      <c r="U70" s="31">
        <v>11.1</v>
      </c>
    </row>
    <row r="71" spans="18:21">
      <c r="R71" s="32">
        <v>45901</v>
      </c>
      <c r="S71" s="31">
        <v>540</v>
      </c>
      <c r="T71" s="31">
        <v>252</v>
      </c>
      <c r="U71" s="31">
        <v>11.1</v>
      </c>
    </row>
    <row r="72" spans="18:21">
      <c r="R72" s="32">
        <v>45931</v>
      </c>
      <c r="S72" s="31">
        <v>588.29999999999995</v>
      </c>
      <c r="T72" s="31">
        <v>305</v>
      </c>
      <c r="U72" s="31">
        <v>10.9</v>
      </c>
    </row>
    <row r="73" spans="18:21">
      <c r="R73" s="32">
        <v>45962</v>
      </c>
      <c r="S73" s="31">
        <v>650</v>
      </c>
      <c r="T73" s="31">
        <v>310</v>
      </c>
      <c r="U73" s="31">
        <v>10.4</v>
      </c>
    </row>
    <row r="74" spans="18:21">
      <c r="R74" s="32">
        <v>45992</v>
      </c>
      <c r="S74" s="31">
        <v>650</v>
      </c>
      <c r="T74" s="31">
        <v>310</v>
      </c>
      <c r="U74" s="31">
        <v>9.5</v>
      </c>
    </row>
    <row r="75" spans="18:21">
      <c r="R75" s="32">
        <v>46023</v>
      </c>
      <c r="S75" s="31">
        <v>589.79999999999995</v>
      </c>
      <c r="T75" s="31">
        <v>318.39999999999998</v>
      </c>
      <c r="U75" s="31">
        <v>11.8</v>
      </c>
    </row>
    <row r="76" spans="18:21">
      <c r="R76" s="32">
        <v>46054</v>
      </c>
      <c r="S76" s="31">
        <v>624.5</v>
      </c>
      <c r="T76" s="31">
        <v>495.7</v>
      </c>
      <c r="U76" s="31">
        <v>11.2</v>
      </c>
    </row>
    <row r="77" spans="18:21">
      <c r="R77" s="32">
        <v>46082</v>
      </c>
      <c r="S77" s="31">
        <v>638.6</v>
      </c>
      <c r="T77" s="31">
        <v>495.7</v>
      </c>
      <c r="U77" s="31">
        <v>17.899999999999999</v>
      </c>
    </row>
    <row r="110" spans="1:26" s="34" customForma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sheetData>
  <mergeCells count="2">
    <mergeCell ref="A33:E33"/>
    <mergeCell ref="A34:N35"/>
  </mergeCells>
  <hyperlinks>
    <hyperlink ref="A37" location="'Read Me'!A1" display="Return to Read Me" xr:uid="{EF019360-C925-47C2-9905-9EF0CFB77AC1}"/>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E003-0DC8-4CFD-B19C-91AA18382C1F}">
  <sheetPr codeName="Sheet7"/>
  <dimension ref="A1:V38"/>
  <sheetViews>
    <sheetView zoomScale="70" zoomScaleNormal="70" workbookViewId="0"/>
  </sheetViews>
  <sheetFormatPr defaultColWidth="9.140625" defaultRowHeight="18"/>
  <cols>
    <col min="1" max="16384" width="9.140625" style="31"/>
  </cols>
  <sheetData>
    <row r="1" spans="1:22" customFormat="1" ht="26.25">
      <c r="A1" s="9" t="s">
        <v>48</v>
      </c>
    </row>
    <row r="4" spans="1:22">
      <c r="Q4" s="31">
        <v>2021</v>
      </c>
      <c r="R4" s="31">
        <v>2022</v>
      </c>
      <c r="S4" s="31">
        <v>2023</v>
      </c>
      <c r="T4" s="31">
        <v>2024</v>
      </c>
      <c r="U4" s="31">
        <v>2025</v>
      </c>
      <c r="V4" s="31">
        <v>2026</v>
      </c>
    </row>
    <row r="5" spans="1:22">
      <c r="P5" s="31" t="s">
        <v>11</v>
      </c>
      <c r="Q5" s="31">
        <v>0.43</v>
      </c>
      <c r="R5" s="31">
        <v>0.24</v>
      </c>
      <c r="S5" s="31">
        <v>0.41</v>
      </c>
      <c r="T5" s="31">
        <v>0.02</v>
      </c>
      <c r="U5" s="31">
        <v>0</v>
      </c>
      <c r="V5" s="31">
        <v>0.22</v>
      </c>
    </row>
    <row r="6" spans="1:22">
      <c r="P6" s="31" t="s">
        <v>0</v>
      </c>
      <c r="Q6" s="31">
        <v>0.4</v>
      </c>
      <c r="R6" s="31">
        <v>0.36</v>
      </c>
      <c r="S6" s="31">
        <v>0.37</v>
      </c>
      <c r="T6" s="31">
        <v>0.12</v>
      </c>
      <c r="U6" s="31">
        <v>0.06</v>
      </c>
      <c r="V6" s="31">
        <v>0.02</v>
      </c>
    </row>
    <row r="34" spans="1:14">
      <c r="A34" s="37" t="s">
        <v>46</v>
      </c>
      <c r="B34" s="37"/>
      <c r="C34" s="37"/>
      <c r="D34" s="37"/>
      <c r="E34" s="37"/>
    </row>
    <row r="35" spans="1:14">
      <c r="A35" s="44" t="s">
        <v>47</v>
      </c>
      <c r="B35" s="44"/>
      <c r="C35" s="44"/>
      <c r="D35" s="44"/>
      <c r="E35" s="44"/>
      <c r="F35" s="44"/>
      <c r="G35" s="44"/>
      <c r="H35" s="44"/>
      <c r="I35" s="44"/>
      <c r="J35" s="44"/>
      <c r="K35" s="44"/>
      <c r="L35" s="44"/>
      <c r="M35" s="44"/>
      <c r="N35" s="44"/>
    </row>
    <row r="36" spans="1:14">
      <c r="A36" s="44"/>
      <c r="B36" s="44"/>
      <c r="C36" s="44"/>
      <c r="D36" s="44"/>
      <c r="E36" s="44"/>
      <c r="F36" s="44"/>
      <c r="G36" s="44"/>
      <c r="H36" s="44"/>
      <c r="I36" s="44"/>
      <c r="J36" s="44"/>
      <c r="K36" s="44"/>
      <c r="L36" s="44"/>
      <c r="M36" s="44"/>
      <c r="N36" s="44"/>
    </row>
    <row r="38" spans="1:14">
      <c r="A38" s="2" t="s">
        <v>3</v>
      </c>
    </row>
  </sheetData>
  <mergeCells count="1">
    <mergeCell ref="A35:N36"/>
  </mergeCells>
  <hyperlinks>
    <hyperlink ref="A38" location="'Read Me'!A1" display="Return to Read Me" xr:uid="{C05A2218-13C3-4E9E-9801-32ECB685DD3E}"/>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CB5B-9370-4694-AFAF-BA1E6724FA0D}">
  <sheetPr codeName="Sheet3"/>
  <dimension ref="A1:U802"/>
  <sheetViews>
    <sheetView zoomScale="70" zoomScaleNormal="70" workbookViewId="0"/>
  </sheetViews>
  <sheetFormatPr defaultColWidth="9.140625" defaultRowHeight="17.45" customHeight="1"/>
  <cols>
    <col min="1" max="4" width="9.140625" style="43"/>
    <col min="5" max="17" width="9.140625" style="40"/>
    <col min="18" max="18" width="12.140625" style="40" bestFit="1" customWidth="1"/>
    <col min="19" max="21" width="9.42578125" style="40" bestFit="1" customWidth="1"/>
    <col min="22" max="16384" width="9.140625" style="40"/>
  </cols>
  <sheetData>
    <row r="1" spans="1:21" customFormat="1" ht="26.25">
      <c r="A1" s="9" t="s">
        <v>49</v>
      </c>
    </row>
    <row r="2" spans="1:21" ht="17.45" customHeight="1">
      <c r="A2" s="40"/>
      <c r="B2" s="40"/>
      <c r="C2" s="40"/>
      <c r="D2" s="40"/>
    </row>
    <row r="3" spans="1:21" ht="17.45" customHeight="1">
      <c r="A3" s="40"/>
      <c r="B3" s="40"/>
      <c r="C3" s="40"/>
      <c r="D3" s="40"/>
      <c r="S3" s="40" t="s">
        <v>16</v>
      </c>
      <c r="T3" s="40" t="s">
        <v>1</v>
      </c>
      <c r="U3" s="40" t="s">
        <v>2</v>
      </c>
    </row>
    <row r="4" spans="1:21" ht="17.45" customHeight="1">
      <c r="A4" s="40"/>
      <c r="B4" s="40"/>
      <c r="C4" s="40"/>
      <c r="D4" s="40"/>
      <c r="R4" s="41">
        <v>43831</v>
      </c>
      <c r="S4" s="42">
        <v>0.85</v>
      </c>
      <c r="T4" s="42">
        <v>0.85</v>
      </c>
      <c r="U4" s="42">
        <v>0.72</v>
      </c>
    </row>
    <row r="5" spans="1:21" ht="17.45" customHeight="1">
      <c r="A5" s="40"/>
      <c r="B5" s="40"/>
      <c r="C5" s="40"/>
      <c r="D5" s="40"/>
      <c r="R5" s="41">
        <v>43862</v>
      </c>
      <c r="S5" s="42">
        <v>0.9</v>
      </c>
      <c r="T5" s="42">
        <v>0.88</v>
      </c>
      <c r="U5" s="42">
        <v>0.68</v>
      </c>
    </row>
    <row r="6" spans="1:21" ht="17.45" customHeight="1">
      <c r="A6" s="40"/>
      <c r="B6" s="40"/>
      <c r="C6" s="40"/>
      <c r="D6" s="40"/>
      <c r="R6" s="41">
        <v>43891</v>
      </c>
      <c r="S6" s="42">
        <v>0.93</v>
      </c>
      <c r="T6" s="42">
        <v>0.97</v>
      </c>
      <c r="U6" s="42">
        <v>0.68</v>
      </c>
    </row>
    <row r="7" spans="1:21" ht="17.45" customHeight="1">
      <c r="A7" s="40"/>
      <c r="B7" s="40"/>
      <c r="C7" s="40"/>
      <c r="D7" s="40"/>
      <c r="R7" s="41">
        <v>43922</v>
      </c>
      <c r="S7" s="42">
        <v>0.95</v>
      </c>
      <c r="T7" s="42">
        <v>1.01</v>
      </c>
      <c r="U7" s="42">
        <v>0.65</v>
      </c>
    </row>
    <row r="8" spans="1:21" ht="17.45" customHeight="1">
      <c r="A8" s="40"/>
      <c r="B8" s="40"/>
      <c r="C8" s="40"/>
      <c r="D8" s="40"/>
      <c r="R8" s="41">
        <v>43952</v>
      </c>
      <c r="S8" s="42">
        <v>0.95</v>
      </c>
      <c r="T8" s="42">
        <v>0.87</v>
      </c>
      <c r="U8" s="42">
        <v>0.66</v>
      </c>
    </row>
    <row r="9" spans="1:21" ht="17.45" customHeight="1">
      <c r="A9" s="40"/>
      <c r="B9" s="40"/>
      <c r="C9" s="40"/>
      <c r="D9" s="40"/>
      <c r="R9" s="41">
        <v>43983</v>
      </c>
      <c r="S9" s="42">
        <v>0.9</v>
      </c>
      <c r="T9" s="42">
        <v>0.85</v>
      </c>
      <c r="U9" s="42">
        <v>0.65</v>
      </c>
    </row>
    <row r="10" spans="1:21" ht="17.45" customHeight="1">
      <c r="A10" s="40"/>
      <c r="B10" s="40"/>
      <c r="C10" s="40"/>
      <c r="D10" s="40"/>
      <c r="R10" s="41">
        <v>44013</v>
      </c>
      <c r="S10" s="42">
        <v>0.98</v>
      </c>
      <c r="T10" s="42">
        <v>0.89</v>
      </c>
      <c r="U10" s="42">
        <v>0.67</v>
      </c>
    </row>
    <row r="11" spans="1:21" ht="17.45" customHeight="1">
      <c r="A11" s="40"/>
      <c r="B11" s="40"/>
      <c r="C11" s="40"/>
      <c r="D11" s="40"/>
      <c r="R11" s="41">
        <v>44044</v>
      </c>
      <c r="S11" s="42">
        <v>1.01</v>
      </c>
      <c r="T11" s="42">
        <v>1.01</v>
      </c>
      <c r="U11" s="42">
        <v>0.67</v>
      </c>
    </row>
    <row r="12" spans="1:21" ht="17.45" customHeight="1">
      <c r="A12" s="40"/>
      <c r="B12" s="40"/>
      <c r="C12" s="40"/>
      <c r="D12" s="40"/>
      <c r="R12" s="41">
        <v>44075</v>
      </c>
      <c r="S12" s="42">
        <v>0.99</v>
      </c>
      <c r="T12" s="42">
        <v>0.97</v>
      </c>
      <c r="U12" s="42">
        <v>0.66</v>
      </c>
    </row>
    <row r="13" spans="1:21" ht="17.45" customHeight="1">
      <c r="A13" s="40"/>
      <c r="B13" s="40"/>
      <c r="C13" s="40"/>
      <c r="D13" s="40"/>
      <c r="R13" s="41">
        <v>44105</v>
      </c>
      <c r="S13" s="42">
        <v>0.98</v>
      </c>
      <c r="T13" s="42">
        <v>0.92</v>
      </c>
      <c r="U13" s="42">
        <v>0.65</v>
      </c>
    </row>
    <row r="14" spans="1:21" ht="17.45" customHeight="1">
      <c r="A14" s="40"/>
      <c r="B14" s="40"/>
      <c r="C14" s="40"/>
      <c r="D14" s="40"/>
      <c r="R14" s="41">
        <v>44136</v>
      </c>
      <c r="S14" s="42">
        <v>0.93</v>
      </c>
      <c r="T14" s="42">
        <v>0.87</v>
      </c>
      <c r="U14" s="42">
        <v>0.61</v>
      </c>
    </row>
    <row r="15" spans="1:21" ht="17.45" customHeight="1">
      <c r="A15" s="40"/>
      <c r="B15" s="40"/>
      <c r="C15" s="40"/>
      <c r="D15" s="40"/>
      <c r="R15" s="41">
        <v>44166</v>
      </c>
      <c r="S15" s="42">
        <v>0.99</v>
      </c>
      <c r="T15" s="42">
        <v>0.84</v>
      </c>
      <c r="U15" s="42">
        <v>0.57999999999999996</v>
      </c>
    </row>
    <row r="16" spans="1:21" ht="17.45" customHeight="1">
      <c r="A16" s="40"/>
      <c r="B16" s="40"/>
      <c r="C16" s="40"/>
      <c r="D16" s="40"/>
      <c r="R16" s="41">
        <v>44197</v>
      </c>
      <c r="S16" s="42">
        <v>0.98</v>
      </c>
      <c r="T16" s="42">
        <v>0.85</v>
      </c>
      <c r="U16" s="42">
        <v>0.56000000000000005</v>
      </c>
    </row>
    <row r="17" spans="1:21" ht="17.45" customHeight="1">
      <c r="A17" s="40"/>
      <c r="B17" s="40"/>
      <c r="C17" s="40"/>
      <c r="D17" s="40"/>
      <c r="R17" s="41">
        <v>44228</v>
      </c>
      <c r="S17" s="42">
        <v>1.29</v>
      </c>
      <c r="T17" s="42">
        <v>1.06</v>
      </c>
      <c r="U17" s="42">
        <v>0.63</v>
      </c>
    </row>
    <row r="18" spans="1:21" ht="17.45" customHeight="1">
      <c r="A18" s="40"/>
      <c r="B18" s="40"/>
      <c r="C18" s="40"/>
      <c r="D18" s="40"/>
      <c r="R18" s="41">
        <v>44256</v>
      </c>
      <c r="S18" s="42">
        <v>1.32</v>
      </c>
      <c r="T18" s="42">
        <v>1.1299999999999999</v>
      </c>
      <c r="U18" s="42">
        <v>0.7</v>
      </c>
    </row>
    <row r="19" spans="1:21" ht="17.45" customHeight="1">
      <c r="A19" s="40"/>
      <c r="B19" s="40"/>
      <c r="C19" s="40"/>
      <c r="D19" s="40"/>
      <c r="R19" s="41">
        <v>44287</v>
      </c>
      <c r="S19" s="42">
        <v>1.33</v>
      </c>
      <c r="T19" s="42">
        <v>1.01</v>
      </c>
      <c r="U19" s="42">
        <v>0.73</v>
      </c>
    </row>
    <row r="20" spans="1:21" ht="17.45" customHeight="1">
      <c r="A20" s="40"/>
      <c r="B20" s="40"/>
      <c r="C20" s="40"/>
      <c r="D20" s="40"/>
      <c r="R20" s="41">
        <v>44317</v>
      </c>
      <c r="S20" s="42">
        <v>1.37</v>
      </c>
      <c r="T20" s="42">
        <v>0.96</v>
      </c>
      <c r="U20" s="42">
        <v>0.75</v>
      </c>
    </row>
    <row r="21" spans="1:21" ht="17.45" customHeight="1">
      <c r="A21" s="40"/>
      <c r="B21" s="40"/>
      <c r="C21" s="40"/>
      <c r="D21" s="40"/>
      <c r="R21" s="41">
        <v>44348</v>
      </c>
      <c r="S21" s="42">
        <v>1.48</v>
      </c>
      <c r="T21" s="42">
        <v>1.18</v>
      </c>
      <c r="U21" s="42">
        <v>0.95</v>
      </c>
    </row>
    <row r="22" spans="1:21" ht="17.45" customHeight="1">
      <c r="A22" s="40"/>
      <c r="B22" s="40"/>
      <c r="C22" s="40"/>
      <c r="D22" s="40"/>
      <c r="R22" s="41">
        <v>44378</v>
      </c>
      <c r="S22" s="42">
        <v>1.51</v>
      </c>
      <c r="T22" s="42">
        <v>1.33</v>
      </c>
      <c r="U22" s="42">
        <v>1.31</v>
      </c>
    </row>
    <row r="23" spans="1:21" ht="17.45" customHeight="1">
      <c r="A23" s="40"/>
      <c r="B23" s="40"/>
      <c r="C23" s="40"/>
      <c r="D23" s="40"/>
      <c r="R23" s="41">
        <v>44409</v>
      </c>
      <c r="S23" s="42">
        <v>1.5</v>
      </c>
      <c r="T23" s="42">
        <v>1.34</v>
      </c>
      <c r="U23" s="42">
        <v>1.43</v>
      </c>
    </row>
    <row r="24" spans="1:21" ht="17.45" customHeight="1">
      <c r="A24" s="40"/>
      <c r="B24" s="40"/>
      <c r="C24" s="40"/>
      <c r="D24" s="40"/>
      <c r="R24" s="41">
        <v>44440</v>
      </c>
      <c r="S24" s="42">
        <v>1.58</v>
      </c>
      <c r="T24" s="42">
        <v>1.29</v>
      </c>
      <c r="U24" s="42">
        <v>1.55</v>
      </c>
    </row>
    <row r="25" spans="1:21" ht="17.45" customHeight="1">
      <c r="A25" s="40"/>
      <c r="B25" s="40"/>
      <c r="C25" s="40"/>
      <c r="D25" s="40"/>
      <c r="R25" s="41">
        <v>44470</v>
      </c>
      <c r="S25" s="42">
        <v>1.68</v>
      </c>
      <c r="T25" s="42">
        <v>2.11</v>
      </c>
      <c r="U25" s="42">
        <v>1.62</v>
      </c>
    </row>
    <row r="26" spans="1:21" ht="17.45" customHeight="1">
      <c r="A26" s="40"/>
      <c r="B26" s="40"/>
      <c r="C26" s="40"/>
      <c r="D26" s="40"/>
      <c r="R26" s="41">
        <v>44501</v>
      </c>
      <c r="S26" s="42">
        <v>1.8</v>
      </c>
      <c r="T26" s="42">
        <v>2.71</v>
      </c>
      <c r="U26" s="42">
        <v>1.66</v>
      </c>
    </row>
    <row r="27" spans="1:21" ht="17.45" customHeight="1">
      <c r="A27" s="40"/>
      <c r="B27" s="40"/>
      <c r="C27" s="40"/>
      <c r="D27" s="40"/>
      <c r="R27" s="41">
        <v>44531</v>
      </c>
      <c r="S27" s="42">
        <v>1.86</v>
      </c>
      <c r="T27" s="42">
        <v>2.68</v>
      </c>
      <c r="U27" s="42">
        <v>1.66</v>
      </c>
    </row>
    <row r="28" spans="1:21" ht="17.45" customHeight="1">
      <c r="A28" s="40"/>
      <c r="B28" s="40"/>
      <c r="C28" s="40"/>
      <c r="D28" s="40"/>
      <c r="R28" s="41">
        <v>44562</v>
      </c>
      <c r="S28" s="42">
        <v>1.74</v>
      </c>
      <c r="T28" s="42">
        <v>2.4300000000000002</v>
      </c>
      <c r="U28" s="42">
        <v>1.54</v>
      </c>
    </row>
    <row r="29" spans="1:21" ht="17.45" customHeight="1">
      <c r="A29" s="40"/>
      <c r="B29" s="40"/>
      <c r="C29" s="40"/>
      <c r="D29" s="40"/>
      <c r="R29" s="41">
        <v>44593</v>
      </c>
      <c r="S29" s="42">
        <v>1.65</v>
      </c>
      <c r="T29" s="42">
        <v>2.0099999999999998</v>
      </c>
      <c r="U29" s="42">
        <v>1.47</v>
      </c>
    </row>
    <row r="30" spans="1:21" ht="17.45" customHeight="1">
      <c r="A30" s="40"/>
      <c r="B30" s="40"/>
      <c r="C30" s="40"/>
      <c r="D30" s="40"/>
      <c r="R30" s="41">
        <v>44621</v>
      </c>
      <c r="S30" s="42">
        <v>1.73</v>
      </c>
      <c r="T30" s="42">
        <v>2.12</v>
      </c>
      <c r="U30" s="42">
        <v>1.63</v>
      </c>
    </row>
    <row r="31" spans="1:21" ht="17.45" customHeight="1">
      <c r="A31" s="40"/>
      <c r="B31" s="40"/>
      <c r="C31" s="40"/>
      <c r="D31" s="40"/>
      <c r="R31" s="41">
        <v>44652</v>
      </c>
      <c r="S31" s="42">
        <v>1.86</v>
      </c>
      <c r="T31" s="42">
        <v>2.2400000000000002</v>
      </c>
      <c r="U31" s="42">
        <v>1.99</v>
      </c>
    </row>
    <row r="32" spans="1:21" ht="17.45" customHeight="1">
      <c r="A32" s="40"/>
      <c r="B32" s="40"/>
      <c r="C32" s="40"/>
      <c r="D32" s="40"/>
      <c r="R32" s="41">
        <v>44682</v>
      </c>
      <c r="S32" s="42">
        <v>1.8</v>
      </c>
      <c r="T32" s="42">
        <v>1.71</v>
      </c>
      <c r="U32" s="42">
        <v>1.93</v>
      </c>
    </row>
    <row r="33" spans="1:21" ht="17.45" customHeight="1">
      <c r="A33" s="40"/>
      <c r="B33" s="40"/>
      <c r="C33" s="40"/>
      <c r="D33" s="40"/>
      <c r="R33" s="41">
        <v>44713</v>
      </c>
      <c r="S33" s="42">
        <v>1.67</v>
      </c>
      <c r="T33" s="42">
        <v>1.75</v>
      </c>
      <c r="U33" s="42">
        <v>1.92</v>
      </c>
    </row>
    <row r="34" spans="1:21" ht="17.45" customHeight="1">
      <c r="A34" s="37" t="s">
        <v>13</v>
      </c>
      <c r="B34" s="37"/>
      <c r="C34" s="37"/>
      <c r="D34" s="37"/>
      <c r="E34" s="37"/>
      <c r="F34" s="31"/>
      <c r="G34" s="31"/>
      <c r="H34" s="31"/>
      <c r="I34" s="31"/>
      <c r="J34" s="31"/>
      <c r="K34" s="31"/>
      <c r="L34" s="31"/>
      <c r="M34" s="31"/>
      <c r="N34" s="31"/>
      <c r="R34" s="41">
        <v>44743</v>
      </c>
      <c r="S34" s="42">
        <v>1.84</v>
      </c>
      <c r="T34" s="42">
        <v>1.67</v>
      </c>
      <c r="U34" s="42">
        <v>1.93</v>
      </c>
    </row>
    <row r="35" spans="1:21" ht="17.45" customHeight="1">
      <c r="A35" s="44" t="s">
        <v>50</v>
      </c>
      <c r="B35" s="44"/>
      <c r="C35" s="44"/>
      <c r="D35" s="44"/>
      <c r="E35" s="44"/>
      <c r="F35" s="44"/>
      <c r="G35" s="44"/>
      <c r="H35" s="44"/>
      <c r="I35" s="44"/>
      <c r="J35" s="44"/>
      <c r="K35" s="44"/>
      <c r="L35" s="44"/>
      <c r="M35" s="44"/>
      <c r="N35" s="44"/>
      <c r="R35" s="41">
        <v>44774</v>
      </c>
      <c r="S35" s="42">
        <v>1.78</v>
      </c>
      <c r="T35" s="42">
        <v>1.66</v>
      </c>
      <c r="U35" s="42">
        <v>1.71</v>
      </c>
    </row>
    <row r="36" spans="1:21" ht="17.45" customHeight="1">
      <c r="A36" s="44"/>
      <c r="B36" s="44"/>
      <c r="C36" s="44"/>
      <c r="D36" s="44"/>
      <c r="E36" s="44"/>
      <c r="F36" s="44"/>
      <c r="G36" s="44"/>
      <c r="H36" s="44"/>
      <c r="I36" s="44"/>
      <c r="J36" s="44"/>
      <c r="K36" s="44"/>
      <c r="L36" s="44"/>
      <c r="M36" s="44"/>
      <c r="N36" s="44"/>
      <c r="R36" s="41">
        <v>44805</v>
      </c>
      <c r="S36" s="42">
        <v>1.79</v>
      </c>
      <c r="T36" s="42">
        <v>1.91</v>
      </c>
      <c r="U36" s="42">
        <v>1.41</v>
      </c>
    </row>
    <row r="37" spans="1:21" ht="17.45" customHeight="1">
      <c r="A37" s="31"/>
      <c r="B37" s="31"/>
      <c r="C37" s="31"/>
      <c r="D37" s="31"/>
      <c r="E37" s="31"/>
      <c r="F37" s="31"/>
      <c r="G37" s="31"/>
      <c r="H37" s="31"/>
      <c r="I37" s="31"/>
      <c r="J37" s="31"/>
      <c r="K37" s="31"/>
      <c r="L37" s="31"/>
      <c r="M37" s="31"/>
      <c r="N37" s="31"/>
      <c r="R37" s="41">
        <v>44835</v>
      </c>
      <c r="S37" s="42">
        <v>1.7</v>
      </c>
      <c r="T37" s="42">
        <v>1.78</v>
      </c>
      <c r="U37" s="42">
        <v>1.19</v>
      </c>
    </row>
    <row r="38" spans="1:21" ht="17.45" customHeight="1">
      <c r="A38" s="2" t="s">
        <v>3</v>
      </c>
      <c r="B38" s="31"/>
      <c r="C38" s="31"/>
      <c r="D38" s="31"/>
      <c r="E38" s="31"/>
      <c r="F38" s="31"/>
      <c r="G38" s="31"/>
      <c r="H38" s="31"/>
      <c r="I38" s="31"/>
      <c r="J38" s="31"/>
      <c r="K38" s="31"/>
      <c r="L38" s="31"/>
      <c r="M38" s="31"/>
      <c r="N38" s="31"/>
      <c r="R38" s="41">
        <v>44866</v>
      </c>
      <c r="S38" s="42">
        <v>1.58</v>
      </c>
      <c r="T38" s="42">
        <v>1.65</v>
      </c>
      <c r="U38" s="42">
        <v>1.08</v>
      </c>
    </row>
    <row r="39" spans="1:21" ht="17.45" customHeight="1">
      <c r="A39" s="40"/>
      <c r="B39" s="40"/>
      <c r="C39" s="40"/>
      <c r="D39" s="40"/>
      <c r="R39" s="41">
        <v>44896</v>
      </c>
      <c r="S39" s="42">
        <v>1.5</v>
      </c>
      <c r="T39" s="42">
        <v>1.48</v>
      </c>
      <c r="U39" s="42">
        <v>1</v>
      </c>
    </row>
    <row r="40" spans="1:21" ht="17.45" customHeight="1">
      <c r="A40" s="40"/>
      <c r="B40" s="40"/>
      <c r="C40" s="40"/>
      <c r="D40" s="40"/>
      <c r="R40" s="41">
        <v>44927</v>
      </c>
      <c r="S40" s="42">
        <v>1.46</v>
      </c>
      <c r="T40" s="42">
        <v>1.26</v>
      </c>
      <c r="U40" s="42">
        <v>0.99</v>
      </c>
    </row>
    <row r="41" spans="1:21" ht="17.45" customHeight="1">
      <c r="A41" s="40"/>
      <c r="B41" s="40"/>
      <c r="C41" s="40"/>
      <c r="D41" s="40"/>
      <c r="R41" s="41">
        <v>44958</v>
      </c>
      <c r="S41" s="42">
        <v>1.39</v>
      </c>
      <c r="T41" s="42">
        <v>1.01</v>
      </c>
      <c r="U41" s="42">
        <v>0.96</v>
      </c>
    </row>
    <row r="42" spans="1:21" ht="17.45" customHeight="1">
      <c r="A42" s="40"/>
      <c r="B42" s="40"/>
      <c r="C42" s="40"/>
      <c r="D42" s="40"/>
      <c r="R42" s="41">
        <v>44986</v>
      </c>
      <c r="S42" s="42">
        <v>1.4</v>
      </c>
      <c r="T42" s="42">
        <v>0.91</v>
      </c>
      <c r="U42" s="42">
        <v>0.9</v>
      </c>
    </row>
    <row r="43" spans="1:21" ht="17.45" customHeight="1">
      <c r="A43" s="40"/>
      <c r="B43" s="40"/>
      <c r="C43" s="40"/>
      <c r="D43" s="40"/>
      <c r="R43" s="41">
        <v>45017</v>
      </c>
      <c r="S43" s="42">
        <v>1.4</v>
      </c>
      <c r="T43" s="42">
        <v>0.88</v>
      </c>
      <c r="U43" s="42">
        <v>0.79</v>
      </c>
    </row>
    <row r="44" spans="1:21" ht="17.45" customHeight="1">
      <c r="A44" s="40"/>
      <c r="B44" s="40"/>
      <c r="C44" s="40"/>
      <c r="D44" s="40"/>
      <c r="R44" s="41">
        <v>45047</v>
      </c>
      <c r="S44" s="42">
        <v>1.27</v>
      </c>
      <c r="T44" s="42">
        <v>0.96</v>
      </c>
      <c r="U44" s="42">
        <v>0.74</v>
      </c>
    </row>
    <row r="45" spans="1:21" ht="17.45" customHeight="1">
      <c r="A45" s="40"/>
      <c r="B45" s="40"/>
      <c r="C45" s="40"/>
      <c r="D45" s="40"/>
      <c r="R45" s="41">
        <v>45078</v>
      </c>
      <c r="S45" s="42">
        <v>1.06</v>
      </c>
      <c r="T45" s="42">
        <v>0.87</v>
      </c>
      <c r="U45" s="42">
        <v>0.68</v>
      </c>
    </row>
    <row r="46" spans="1:21" ht="17.45" customHeight="1">
      <c r="A46" s="40"/>
      <c r="B46" s="40"/>
      <c r="C46" s="40"/>
      <c r="D46" s="40"/>
      <c r="R46" s="41">
        <v>45108</v>
      </c>
      <c r="S46" s="42">
        <v>1.05</v>
      </c>
      <c r="T46" s="42">
        <v>1</v>
      </c>
      <c r="U46" s="42">
        <v>0.7</v>
      </c>
    </row>
    <row r="47" spans="1:21" ht="17.45" customHeight="1">
      <c r="A47" s="40"/>
      <c r="B47" s="40"/>
      <c r="C47" s="40"/>
      <c r="D47" s="40"/>
      <c r="R47" s="41">
        <v>45139</v>
      </c>
      <c r="S47" s="42">
        <v>1.23</v>
      </c>
      <c r="T47" s="42">
        <v>1.17</v>
      </c>
      <c r="U47" s="42">
        <v>0.73</v>
      </c>
    </row>
    <row r="48" spans="1:21" ht="17.45" customHeight="1">
      <c r="A48" s="40"/>
      <c r="B48" s="40"/>
      <c r="C48" s="40"/>
      <c r="D48" s="40"/>
      <c r="R48" s="41">
        <v>45170</v>
      </c>
      <c r="S48" s="42">
        <v>1.23</v>
      </c>
      <c r="T48" s="42">
        <v>1.1299999999999999</v>
      </c>
      <c r="U48" s="42">
        <v>0.72</v>
      </c>
    </row>
    <row r="49" spans="1:21" ht="17.45" customHeight="1">
      <c r="A49" s="40"/>
      <c r="B49" s="40"/>
      <c r="C49" s="40"/>
      <c r="D49" s="40"/>
      <c r="R49" s="41">
        <v>45200</v>
      </c>
      <c r="S49" s="42">
        <v>1.27</v>
      </c>
      <c r="T49" s="42">
        <v>1.24</v>
      </c>
      <c r="U49" s="42">
        <v>0.71</v>
      </c>
    </row>
    <row r="50" spans="1:21" ht="17.45" customHeight="1">
      <c r="A50" s="40"/>
      <c r="B50" s="40"/>
      <c r="C50" s="40"/>
      <c r="D50" s="40"/>
      <c r="R50" s="41">
        <v>45231</v>
      </c>
      <c r="S50" s="42">
        <v>1.24</v>
      </c>
      <c r="T50" s="42">
        <v>1.1499999999999999</v>
      </c>
      <c r="U50" s="42">
        <v>0.68</v>
      </c>
    </row>
    <row r="51" spans="1:21" ht="17.45" customHeight="1">
      <c r="A51" s="40"/>
      <c r="B51" s="40"/>
      <c r="C51" s="40"/>
      <c r="D51" s="40"/>
      <c r="R51" s="41">
        <v>45261</v>
      </c>
      <c r="S51" s="42">
        <v>1.24</v>
      </c>
      <c r="T51" s="42">
        <v>1.0900000000000001</v>
      </c>
      <c r="U51" s="42">
        <v>0.66</v>
      </c>
    </row>
    <row r="52" spans="1:21" ht="17.45" customHeight="1">
      <c r="A52" s="40"/>
      <c r="B52" s="40"/>
      <c r="C52" s="40"/>
      <c r="D52" s="40"/>
      <c r="R52" s="41">
        <v>45292</v>
      </c>
      <c r="S52" s="42">
        <v>1.27</v>
      </c>
      <c r="T52" s="42">
        <v>1.05</v>
      </c>
      <c r="U52" s="42">
        <v>0.63</v>
      </c>
    </row>
    <row r="53" spans="1:21" ht="17.45" customHeight="1">
      <c r="A53" s="40"/>
      <c r="B53" s="40"/>
      <c r="C53" s="40"/>
      <c r="D53" s="40"/>
      <c r="R53" s="41">
        <v>45323</v>
      </c>
      <c r="S53" s="42">
        <v>1.29</v>
      </c>
      <c r="T53" s="42">
        <v>1.1100000000000001</v>
      </c>
      <c r="U53" s="42">
        <v>0.63</v>
      </c>
    </row>
    <row r="54" spans="1:21" ht="17.45" customHeight="1">
      <c r="A54" s="40"/>
      <c r="B54" s="40"/>
      <c r="C54" s="40"/>
      <c r="D54" s="40"/>
      <c r="R54" s="41">
        <v>45352</v>
      </c>
      <c r="S54" s="42">
        <v>1.27</v>
      </c>
      <c r="T54" s="42">
        <v>1.04</v>
      </c>
      <c r="U54" s="42">
        <v>0.65</v>
      </c>
    </row>
    <row r="55" spans="1:21" ht="17.45" customHeight="1">
      <c r="A55" s="40"/>
      <c r="B55" s="40"/>
      <c r="C55" s="40"/>
      <c r="D55" s="40"/>
      <c r="R55" s="41">
        <v>45383</v>
      </c>
      <c r="S55" s="42">
        <v>1.26</v>
      </c>
      <c r="T55" s="42">
        <v>1.01</v>
      </c>
      <c r="U55" s="42">
        <v>0.66</v>
      </c>
    </row>
    <row r="56" spans="1:21" ht="17.45" customHeight="1">
      <c r="A56" s="40"/>
      <c r="B56" s="40"/>
      <c r="C56" s="40"/>
      <c r="D56" s="40"/>
      <c r="R56" s="41">
        <v>45413</v>
      </c>
      <c r="S56" s="42">
        <v>1.22</v>
      </c>
      <c r="T56" s="42">
        <v>0.89</v>
      </c>
      <c r="U56" s="42">
        <v>0.66</v>
      </c>
    </row>
    <row r="57" spans="1:21" ht="17.45" customHeight="1">
      <c r="A57" s="40"/>
      <c r="B57" s="40"/>
      <c r="C57" s="40"/>
      <c r="D57" s="40"/>
      <c r="R57" s="41">
        <v>45444</v>
      </c>
      <c r="S57" s="42">
        <v>1.37</v>
      </c>
      <c r="T57" s="42">
        <v>1.08</v>
      </c>
      <c r="U57" s="42">
        <v>0.68</v>
      </c>
    </row>
    <row r="58" spans="1:21" ht="17.45" customHeight="1">
      <c r="A58" s="40"/>
      <c r="B58" s="40"/>
      <c r="C58" s="40"/>
      <c r="D58" s="40"/>
      <c r="R58" s="41">
        <v>45474</v>
      </c>
      <c r="S58" s="42">
        <v>1.48</v>
      </c>
      <c r="T58" s="42">
        <v>1.1100000000000001</v>
      </c>
      <c r="U58" s="42">
        <v>0.67</v>
      </c>
    </row>
    <row r="59" spans="1:21" ht="17.45" customHeight="1">
      <c r="A59" s="40"/>
      <c r="B59" s="40"/>
      <c r="C59" s="40"/>
      <c r="D59" s="40"/>
      <c r="R59" s="41">
        <v>45505</v>
      </c>
      <c r="S59" s="42">
        <v>1.52</v>
      </c>
      <c r="T59" s="42">
        <v>1.1399999999999999</v>
      </c>
      <c r="U59" s="42">
        <v>0.67</v>
      </c>
    </row>
    <row r="60" spans="1:21" ht="17.45" customHeight="1">
      <c r="A60" s="40"/>
      <c r="B60" s="40"/>
      <c r="C60" s="40"/>
      <c r="D60" s="40"/>
      <c r="R60" s="41">
        <v>45536</v>
      </c>
      <c r="S60" s="42">
        <v>1.46</v>
      </c>
      <c r="T60" s="42">
        <v>1.0900000000000001</v>
      </c>
      <c r="U60" s="42">
        <v>0.63</v>
      </c>
    </row>
    <row r="61" spans="1:21" ht="17.45" customHeight="1">
      <c r="A61" s="40"/>
      <c r="B61" s="40"/>
      <c r="C61" s="40"/>
      <c r="D61" s="40"/>
      <c r="R61" s="41">
        <v>45566</v>
      </c>
      <c r="S61" s="42">
        <v>1.44</v>
      </c>
      <c r="T61" s="42">
        <v>1.19</v>
      </c>
      <c r="U61" s="42">
        <v>0.6</v>
      </c>
    </row>
    <row r="62" spans="1:21" ht="17.45" customHeight="1">
      <c r="A62" s="40"/>
      <c r="B62" s="40"/>
      <c r="C62" s="40"/>
      <c r="D62" s="40"/>
      <c r="R62" s="41">
        <v>45597</v>
      </c>
      <c r="S62" s="42">
        <v>1.4</v>
      </c>
      <c r="T62" s="42">
        <v>1.1200000000000001</v>
      </c>
      <c r="U62" s="42">
        <v>0.61</v>
      </c>
    </row>
    <row r="63" spans="1:21" ht="17.45" customHeight="1">
      <c r="A63" s="40"/>
      <c r="B63" s="40"/>
      <c r="C63" s="40"/>
      <c r="D63" s="40"/>
      <c r="R63" s="41">
        <v>45627</v>
      </c>
      <c r="S63" s="42">
        <v>1.38</v>
      </c>
      <c r="T63" s="42">
        <v>1.1299999999999999</v>
      </c>
      <c r="U63" s="42">
        <v>0.64</v>
      </c>
    </row>
    <row r="64" spans="1:21" ht="17.45" customHeight="1">
      <c r="A64" s="40"/>
      <c r="B64" s="40"/>
      <c r="C64" s="40"/>
      <c r="D64" s="40"/>
      <c r="R64" s="41">
        <v>45658</v>
      </c>
      <c r="S64" s="42">
        <v>1.39</v>
      </c>
      <c r="T64" s="42">
        <v>1.23</v>
      </c>
      <c r="U64" s="42">
        <v>0.67</v>
      </c>
    </row>
    <row r="65" spans="1:21" ht="17.45" customHeight="1">
      <c r="A65" s="40"/>
      <c r="B65" s="40"/>
      <c r="C65" s="40"/>
      <c r="D65" s="40"/>
      <c r="R65" s="41">
        <v>45689</v>
      </c>
      <c r="S65" s="42">
        <v>1.4</v>
      </c>
      <c r="T65" s="42">
        <v>1.42</v>
      </c>
      <c r="U65" s="42">
        <v>0.71</v>
      </c>
    </row>
    <row r="66" spans="1:21" ht="17.45" customHeight="1">
      <c r="A66" s="40"/>
      <c r="B66" s="40"/>
      <c r="C66" s="40"/>
      <c r="D66" s="40"/>
      <c r="R66" s="41">
        <v>45717</v>
      </c>
      <c r="S66" s="42">
        <v>1.43</v>
      </c>
      <c r="T66" s="42">
        <v>1.31</v>
      </c>
      <c r="U66" s="42">
        <v>0.77</v>
      </c>
    </row>
    <row r="67" spans="1:21" ht="17.45" customHeight="1">
      <c r="A67" s="40"/>
      <c r="B67" s="40"/>
      <c r="C67" s="40"/>
      <c r="D67" s="40"/>
      <c r="R67" s="41">
        <v>45748</v>
      </c>
      <c r="S67" s="42">
        <v>1.49</v>
      </c>
      <c r="T67" s="42">
        <v>1.3</v>
      </c>
      <c r="U67" s="42">
        <v>0.81</v>
      </c>
    </row>
    <row r="68" spans="1:21" ht="17.45" customHeight="1">
      <c r="A68" s="40"/>
      <c r="B68" s="40"/>
      <c r="C68" s="40"/>
      <c r="D68" s="40"/>
      <c r="R68" s="41">
        <v>45778</v>
      </c>
      <c r="S68" s="42">
        <v>1.66</v>
      </c>
      <c r="T68" s="42">
        <v>1.34</v>
      </c>
      <c r="U68" s="42">
        <v>0.85</v>
      </c>
    </row>
    <row r="69" spans="1:21" ht="17.45" customHeight="1">
      <c r="A69" s="40"/>
      <c r="B69" s="40"/>
      <c r="C69" s="40"/>
      <c r="D69" s="40"/>
      <c r="R69" s="41">
        <v>45809</v>
      </c>
      <c r="S69" s="42">
        <v>2</v>
      </c>
      <c r="T69" s="42">
        <v>1.46</v>
      </c>
      <c r="U69" s="42">
        <v>0.86</v>
      </c>
    </row>
    <row r="70" spans="1:21" ht="17.45" customHeight="1">
      <c r="A70" s="40"/>
      <c r="B70" s="40"/>
      <c r="C70" s="40"/>
      <c r="D70" s="40"/>
      <c r="R70" s="41">
        <v>45839</v>
      </c>
      <c r="S70" s="42">
        <v>2.02</v>
      </c>
      <c r="T70" s="42">
        <v>1.7</v>
      </c>
      <c r="U70" s="42">
        <v>0.85</v>
      </c>
    </row>
    <row r="71" spans="1:21" ht="17.45" customHeight="1">
      <c r="A71" s="40"/>
      <c r="B71" s="40"/>
      <c r="C71" s="40"/>
      <c r="D71" s="40"/>
      <c r="R71" s="41">
        <v>45870</v>
      </c>
      <c r="S71" s="42">
        <v>2.06</v>
      </c>
      <c r="T71" s="42">
        <v>1.76</v>
      </c>
      <c r="U71" s="42">
        <v>0.84</v>
      </c>
    </row>
    <row r="72" spans="1:21" ht="17.45" customHeight="1">
      <c r="A72" s="40"/>
      <c r="B72" s="40"/>
      <c r="C72" s="40"/>
      <c r="D72" s="40"/>
      <c r="R72" s="41">
        <v>45901</v>
      </c>
      <c r="S72" s="42">
        <v>2.42</v>
      </c>
      <c r="T72" s="42">
        <v>1.59</v>
      </c>
      <c r="U72" s="42">
        <v>0.83</v>
      </c>
    </row>
    <row r="73" spans="1:21" ht="17.45" customHeight="1">
      <c r="A73" s="40"/>
      <c r="B73" s="40"/>
      <c r="C73" s="40"/>
      <c r="D73" s="40"/>
      <c r="R73" s="41">
        <v>45931</v>
      </c>
      <c r="S73" s="42">
        <v>2.36</v>
      </c>
      <c r="T73" s="42">
        <v>1.37</v>
      </c>
      <c r="U73" s="42">
        <v>0.84</v>
      </c>
    </row>
    <row r="74" spans="1:21" ht="17.45" customHeight="1">
      <c r="A74" s="40"/>
      <c r="B74" s="40"/>
      <c r="C74" s="40"/>
      <c r="D74" s="40"/>
      <c r="R74" s="41">
        <v>45962</v>
      </c>
      <c r="S74" s="42">
        <v>2.16</v>
      </c>
      <c r="T74" s="42">
        <v>1.39</v>
      </c>
      <c r="U74" s="42">
        <v>0.82</v>
      </c>
    </row>
    <row r="75" spans="1:21" ht="17.45" customHeight="1">
      <c r="A75" s="40"/>
      <c r="B75" s="40"/>
      <c r="C75" s="40"/>
      <c r="D75" s="40"/>
      <c r="R75" s="41">
        <v>45992</v>
      </c>
      <c r="S75" s="42">
        <v>1.91</v>
      </c>
      <c r="T75" s="42">
        <v>1.33</v>
      </c>
      <c r="U75" s="42">
        <v>0.83</v>
      </c>
    </row>
    <row r="76" spans="1:21" ht="17.45" customHeight="1">
      <c r="A76" s="40"/>
      <c r="B76" s="40"/>
      <c r="C76" s="40"/>
      <c r="D76" s="40"/>
      <c r="R76" s="41">
        <v>46023</v>
      </c>
      <c r="S76" s="42">
        <v>1.85</v>
      </c>
      <c r="T76" s="42">
        <v>1.38</v>
      </c>
      <c r="U76" s="42">
        <v>0.83</v>
      </c>
    </row>
    <row r="77" spans="1:21" ht="17.45" customHeight="1">
      <c r="A77" s="40"/>
      <c r="B77" s="40"/>
      <c r="C77" s="40"/>
      <c r="D77" s="40"/>
      <c r="R77" s="41">
        <v>46054</v>
      </c>
      <c r="S77" s="42">
        <v>1.84</v>
      </c>
      <c r="T77" s="42">
        <v>1.54</v>
      </c>
      <c r="U77" s="42">
        <v>0.83</v>
      </c>
    </row>
    <row r="78" spans="1:21" ht="17.45" customHeight="1">
      <c r="A78" s="40"/>
      <c r="B78" s="40"/>
      <c r="C78" s="40"/>
      <c r="D78" s="40"/>
      <c r="R78" s="41">
        <v>46082</v>
      </c>
      <c r="S78" s="42">
        <v>1.88</v>
      </c>
      <c r="T78" s="42">
        <v>2.2999999999999998</v>
      </c>
      <c r="U78" s="42">
        <v>0.83</v>
      </c>
    </row>
    <row r="79" spans="1:21" ht="17.45" customHeight="1">
      <c r="A79" s="40"/>
      <c r="B79" s="40"/>
      <c r="C79" s="40"/>
      <c r="D79" s="40"/>
    </row>
    <row r="80" spans="1:21" ht="17.45" customHeight="1">
      <c r="A80" s="40"/>
      <c r="B80" s="40"/>
      <c r="C80" s="40"/>
      <c r="D80" s="40"/>
    </row>
    <row r="81" s="40" customFormat="1" ht="17.45" customHeight="1"/>
    <row r="82" s="40" customFormat="1" ht="17.45" customHeight="1"/>
    <row r="83" s="40" customFormat="1" ht="17.45" customHeight="1"/>
    <row r="84" s="40" customFormat="1" ht="17.45" customHeight="1"/>
    <row r="85" s="40" customFormat="1" ht="17.45" customHeight="1"/>
    <row r="86" s="40" customFormat="1" ht="17.45" customHeight="1"/>
    <row r="87" s="40" customFormat="1" ht="17.45" customHeight="1"/>
    <row r="88" s="40" customFormat="1" ht="17.45" customHeight="1"/>
    <row r="89" s="40" customFormat="1" ht="17.45" customHeight="1"/>
    <row r="90" s="40" customFormat="1" ht="17.45" customHeight="1"/>
    <row r="91" s="40" customFormat="1" ht="17.45" customHeight="1"/>
    <row r="92" s="40" customFormat="1" ht="17.45" customHeight="1"/>
    <row r="93" s="40" customFormat="1" ht="17.45" customHeight="1"/>
    <row r="94" s="40" customFormat="1" ht="17.45" customHeight="1"/>
    <row r="95" s="40" customFormat="1" ht="17.45" customHeight="1"/>
    <row r="96" s="40" customFormat="1" ht="17.45" customHeight="1"/>
    <row r="97" s="40" customFormat="1" ht="17.45" customHeight="1"/>
    <row r="98" s="40" customFormat="1" ht="17.45" customHeight="1"/>
    <row r="99" s="40" customFormat="1" ht="17.45" customHeight="1"/>
    <row r="100" s="40" customFormat="1" ht="17.45" customHeight="1"/>
    <row r="101" s="40" customFormat="1" ht="17.45" customHeight="1"/>
    <row r="102" s="40" customFormat="1" ht="17.45" customHeight="1"/>
    <row r="103" s="40" customFormat="1" ht="17.45" customHeight="1"/>
    <row r="104" s="40" customFormat="1" ht="17.45" customHeight="1"/>
    <row r="105" s="40" customFormat="1" ht="17.45" customHeight="1"/>
    <row r="106" s="40" customFormat="1" ht="17.45" customHeight="1"/>
    <row r="107" s="40" customFormat="1" ht="17.45" customHeight="1"/>
    <row r="108" s="40" customFormat="1" ht="17.45" customHeight="1"/>
    <row r="109" s="40" customFormat="1" ht="17.45" customHeight="1"/>
    <row r="110" s="40" customFormat="1" ht="17.45" customHeight="1"/>
    <row r="111" s="40" customFormat="1" ht="17.45" customHeight="1"/>
    <row r="112" s="40" customFormat="1" ht="17.45" customHeight="1"/>
    <row r="113" s="40" customFormat="1" ht="17.45" customHeight="1"/>
    <row r="114" s="40" customFormat="1" ht="17.45" customHeight="1"/>
    <row r="115" s="40" customFormat="1" ht="17.45" customHeight="1"/>
    <row r="116" s="40" customFormat="1" ht="17.45" customHeight="1"/>
    <row r="117" s="40" customFormat="1" ht="17.45" customHeight="1"/>
    <row r="118" s="40" customFormat="1" ht="17.45" customHeight="1"/>
    <row r="119" s="40" customFormat="1" ht="17.45" customHeight="1"/>
    <row r="120" s="40" customFormat="1" ht="17.45" customHeight="1"/>
    <row r="121" s="40" customFormat="1" ht="17.45" customHeight="1"/>
    <row r="122" s="40" customFormat="1" ht="17.45" customHeight="1"/>
    <row r="123" s="40" customFormat="1" ht="17.45" customHeight="1"/>
    <row r="124" s="40" customFormat="1" ht="17.45" customHeight="1"/>
    <row r="125" s="40" customFormat="1" ht="17.45" customHeight="1"/>
    <row r="126" s="40" customFormat="1" ht="17.45" customHeight="1"/>
    <row r="127" s="40" customFormat="1" ht="17.45" customHeight="1"/>
    <row r="128" s="40" customFormat="1" ht="17.45" customHeight="1"/>
    <row r="129" s="40" customFormat="1" ht="17.45" customHeight="1"/>
    <row r="130" s="40" customFormat="1" ht="17.45" customHeight="1"/>
    <row r="131" s="40" customFormat="1" ht="17.45" customHeight="1"/>
    <row r="132" s="40" customFormat="1" ht="17.45" customHeight="1"/>
    <row r="133" s="40" customFormat="1" ht="17.45" customHeight="1"/>
    <row r="134" s="40" customFormat="1" ht="17.45" customHeight="1"/>
    <row r="135" s="40" customFormat="1" ht="17.45" customHeight="1"/>
    <row r="136" s="40" customFormat="1" ht="17.45" customHeight="1"/>
    <row r="137" s="40" customFormat="1" ht="17.45" customHeight="1"/>
    <row r="138" s="40" customFormat="1" ht="17.45" customHeight="1"/>
    <row r="139" s="40" customFormat="1" ht="17.45" customHeight="1"/>
    <row r="140" s="40" customFormat="1" ht="17.45" customHeight="1"/>
    <row r="141" s="40" customFormat="1" ht="17.45" customHeight="1"/>
    <row r="142" s="40" customFormat="1" ht="17.45" customHeight="1"/>
    <row r="143" s="40" customFormat="1" ht="17.45" customHeight="1"/>
    <row r="144" s="40" customFormat="1" ht="17.45" customHeight="1"/>
    <row r="145" s="40" customFormat="1" ht="17.45" customHeight="1"/>
    <row r="146" s="40" customFormat="1" ht="17.45" customHeight="1"/>
    <row r="147" s="40" customFormat="1" ht="17.45" customHeight="1"/>
    <row r="148" s="40" customFormat="1" ht="17.45" customHeight="1"/>
    <row r="149" s="40" customFormat="1" ht="17.45" customHeight="1"/>
    <row r="150" s="40" customFormat="1" ht="17.45" customHeight="1"/>
    <row r="151" s="40" customFormat="1" ht="17.45" customHeight="1"/>
    <row r="152" s="40" customFormat="1" ht="17.45" customHeight="1"/>
    <row r="153" s="40" customFormat="1" ht="17.45" customHeight="1"/>
    <row r="154" s="40" customFormat="1" ht="17.45" customHeight="1"/>
    <row r="155" s="40" customFormat="1" ht="17.45" customHeight="1"/>
    <row r="156" s="40" customFormat="1" ht="17.45" customHeight="1"/>
    <row r="157" s="40" customFormat="1" ht="17.45" customHeight="1"/>
    <row r="158" s="40" customFormat="1" ht="17.45" customHeight="1"/>
    <row r="159" s="40" customFormat="1" ht="17.45" customHeight="1"/>
    <row r="160" s="40" customFormat="1" ht="17.45" customHeight="1"/>
    <row r="161" s="40" customFormat="1" ht="17.45" customHeight="1"/>
    <row r="162" s="40" customFormat="1" ht="17.45" customHeight="1"/>
    <row r="163" s="40" customFormat="1" ht="17.45" customHeight="1"/>
    <row r="164" s="40" customFormat="1" ht="17.45" customHeight="1"/>
    <row r="165" s="40" customFormat="1" ht="17.45" customHeight="1"/>
    <row r="166" s="40" customFormat="1" ht="17.45" customHeight="1"/>
    <row r="167" s="40" customFormat="1" ht="17.45" customHeight="1"/>
    <row r="168" s="40" customFormat="1" ht="17.45" customHeight="1"/>
    <row r="169" s="40" customFormat="1" ht="17.45" customHeight="1"/>
    <row r="170" s="40" customFormat="1" ht="17.45" customHeight="1"/>
    <row r="171" s="40" customFormat="1" ht="17.45" customHeight="1"/>
    <row r="172" s="40" customFormat="1" ht="17.45" customHeight="1"/>
    <row r="173" s="40" customFormat="1" ht="17.45" customHeight="1"/>
    <row r="174" s="40" customFormat="1" ht="17.45" customHeight="1"/>
    <row r="175" s="40" customFormat="1" ht="17.45" customHeight="1"/>
    <row r="176" s="40" customFormat="1" ht="17.45" customHeight="1"/>
    <row r="177" s="40" customFormat="1" ht="17.45" customHeight="1"/>
    <row r="178" s="40" customFormat="1" ht="17.45" customHeight="1"/>
    <row r="179" s="40" customFormat="1" ht="17.45" customHeight="1"/>
    <row r="180" s="40" customFormat="1" ht="17.45" customHeight="1"/>
    <row r="181" s="40" customFormat="1" ht="17.45" customHeight="1"/>
    <row r="182" s="40" customFormat="1" ht="17.45" customHeight="1"/>
    <row r="183" s="40" customFormat="1" ht="17.45" customHeight="1"/>
    <row r="184" s="40" customFormat="1" ht="17.45" customHeight="1"/>
    <row r="185" s="40" customFormat="1" ht="17.45" customHeight="1"/>
    <row r="186" s="40" customFormat="1" ht="17.45" customHeight="1"/>
    <row r="187" s="40" customFormat="1" ht="17.45" customHeight="1"/>
    <row r="188" s="40" customFormat="1" ht="17.45" customHeight="1"/>
    <row r="189" s="40" customFormat="1" ht="17.45" customHeight="1"/>
    <row r="190" s="40" customFormat="1" ht="17.45" customHeight="1"/>
    <row r="191" s="40" customFormat="1" ht="17.45" customHeight="1"/>
    <row r="192" s="40" customFormat="1" ht="17.45" customHeight="1"/>
    <row r="193" s="40" customFormat="1" ht="17.45" customHeight="1"/>
    <row r="194" s="40" customFormat="1" ht="17.45" customHeight="1"/>
    <row r="195" s="40" customFormat="1" ht="17.45" customHeight="1"/>
    <row r="196" s="40" customFormat="1" ht="17.45" customHeight="1"/>
    <row r="197" s="40" customFormat="1" ht="17.45" customHeight="1"/>
    <row r="198" s="40" customFormat="1" ht="17.45" customHeight="1"/>
    <row r="199" s="40" customFormat="1" ht="17.45" customHeight="1"/>
    <row r="200" s="40" customFormat="1" ht="17.45" customHeight="1"/>
    <row r="201" s="40" customFormat="1" ht="17.45" customHeight="1"/>
    <row r="202" s="40" customFormat="1" ht="17.45" customHeight="1"/>
    <row r="203" s="40" customFormat="1" ht="17.45" customHeight="1"/>
    <row r="204" s="40" customFormat="1" ht="17.45" customHeight="1"/>
    <row r="205" s="40" customFormat="1" ht="17.45" customHeight="1"/>
    <row r="206" s="40" customFormat="1" ht="17.45" customHeight="1"/>
    <row r="207" s="40" customFormat="1" ht="17.45" customHeight="1"/>
    <row r="208" s="40" customFormat="1" ht="17.45" customHeight="1"/>
    <row r="209" s="40" customFormat="1" ht="17.45" customHeight="1"/>
    <row r="210" s="40" customFormat="1" ht="17.45" customHeight="1"/>
    <row r="211" s="40" customFormat="1" ht="17.45" customHeight="1"/>
    <row r="212" s="40" customFormat="1" ht="17.45" customHeight="1"/>
    <row r="213" s="40" customFormat="1" ht="17.45" customHeight="1"/>
    <row r="214" s="40" customFormat="1" ht="17.45" customHeight="1"/>
    <row r="215" s="40" customFormat="1" ht="17.45" customHeight="1"/>
    <row r="216" s="40" customFormat="1" ht="17.45" customHeight="1"/>
    <row r="217" s="40" customFormat="1" ht="17.45" customHeight="1"/>
    <row r="218" s="40" customFormat="1" ht="17.45" customHeight="1"/>
    <row r="219" s="40" customFormat="1" ht="17.45" customHeight="1"/>
    <row r="220" s="40" customFormat="1" ht="17.45" customHeight="1"/>
    <row r="221" s="40" customFormat="1" ht="17.45" customHeight="1"/>
    <row r="222" s="40" customFormat="1" ht="17.45" customHeight="1"/>
    <row r="223" s="40" customFormat="1" ht="17.45" customHeight="1"/>
    <row r="224" s="40" customFormat="1" ht="17.45" customHeight="1"/>
    <row r="225" s="40" customFormat="1" ht="17.45" customHeight="1"/>
    <row r="226" s="40" customFormat="1" ht="17.45" customHeight="1"/>
    <row r="227" s="40" customFormat="1" ht="17.45" customHeight="1"/>
    <row r="228" s="40" customFormat="1" ht="17.45" customHeight="1"/>
    <row r="229" s="40" customFormat="1" ht="17.45" customHeight="1"/>
    <row r="230" s="40" customFormat="1" ht="17.45" customHeight="1"/>
    <row r="231" s="40" customFormat="1" ht="17.45" customHeight="1"/>
    <row r="232" s="40" customFormat="1" ht="17.45" customHeight="1"/>
    <row r="233" s="40" customFormat="1" ht="17.45" customHeight="1"/>
    <row r="234" s="40" customFormat="1" ht="17.45" customHeight="1"/>
    <row r="235" s="40" customFormat="1" ht="17.45" customHeight="1"/>
    <row r="236" s="40" customFormat="1" ht="17.45" customHeight="1"/>
    <row r="237" s="40" customFormat="1" ht="17.45" customHeight="1"/>
    <row r="238" s="40" customFormat="1" ht="17.45" customHeight="1"/>
    <row r="239" s="40" customFormat="1" ht="17.45" customHeight="1"/>
    <row r="240" s="40" customFormat="1" ht="17.45" customHeight="1"/>
    <row r="241" s="40" customFormat="1" ht="17.45" customHeight="1"/>
    <row r="242" s="40" customFormat="1" ht="17.45" customHeight="1"/>
    <row r="243" s="40" customFormat="1" ht="17.45" customHeight="1"/>
    <row r="244" s="40" customFormat="1" ht="17.45" customHeight="1"/>
    <row r="245" s="40" customFormat="1" ht="17.45" customHeight="1"/>
    <row r="246" s="40" customFormat="1" ht="17.45" customHeight="1"/>
    <row r="247" s="40" customFormat="1" ht="17.45" customHeight="1"/>
    <row r="248" s="40" customFormat="1" ht="17.45" customHeight="1"/>
    <row r="249" s="40" customFormat="1" ht="17.45" customHeight="1"/>
    <row r="250" s="40" customFormat="1" ht="17.45" customHeight="1"/>
    <row r="251" s="40" customFormat="1" ht="17.45" customHeight="1"/>
    <row r="252" s="40" customFormat="1" ht="17.45" customHeight="1"/>
    <row r="253" s="40" customFormat="1" ht="17.45" customHeight="1"/>
    <row r="254" s="40" customFormat="1" ht="17.45" customHeight="1"/>
    <row r="255" s="40" customFormat="1" ht="17.45" customHeight="1"/>
    <row r="256" s="40" customFormat="1" ht="17.45" customHeight="1"/>
    <row r="257" s="40" customFormat="1" ht="17.45" customHeight="1"/>
    <row r="258" s="40" customFormat="1" ht="17.45" customHeight="1"/>
    <row r="259" s="40" customFormat="1" ht="17.45" customHeight="1"/>
    <row r="260" s="40" customFormat="1" ht="17.45" customHeight="1"/>
    <row r="261" s="40" customFormat="1" ht="17.45" customHeight="1"/>
    <row r="262" s="40" customFormat="1" ht="17.45" customHeight="1"/>
    <row r="263" s="40" customFormat="1" ht="17.45" customHeight="1"/>
    <row r="264" s="40" customFormat="1" ht="17.45" customHeight="1"/>
    <row r="265" s="40" customFormat="1" ht="17.45" customHeight="1"/>
    <row r="266" s="40" customFormat="1" ht="17.45" customHeight="1"/>
    <row r="267" s="40" customFormat="1" ht="17.45" customHeight="1"/>
    <row r="268" s="40" customFormat="1" ht="17.45" customHeight="1"/>
    <row r="269" s="40" customFormat="1" ht="17.45" customHeight="1"/>
    <row r="270" s="40" customFormat="1" ht="17.45" customHeight="1"/>
    <row r="271" s="40" customFormat="1" ht="17.45" customHeight="1"/>
    <row r="272" s="40" customFormat="1" ht="17.45" customHeight="1"/>
    <row r="273" s="40" customFormat="1" ht="17.45" customHeight="1"/>
    <row r="274" s="40" customFormat="1" ht="17.45" customHeight="1"/>
    <row r="275" s="40" customFormat="1" ht="17.45" customHeight="1"/>
    <row r="276" s="40" customFormat="1" ht="17.45" customHeight="1"/>
    <row r="277" s="40" customFormat="1" ht="17.45" customHeight="1"/>
    <row r="278" s="40" customFormat="1" ht="17.45" customHeight="1"/>
    <row r="279" s="40" customFormat="1" ht="17.45" customHeight="1"/>
    <row r="280" s="40" customFormat="1" ht="17.45" customHeight="1"/>
    <row r="281" s="40" customFormat="1" ht="17.45" customHeight="1"/>
    <row r="282" s="40" customFormat="1" ht="17.45" customHeight="1"/>
    <row r="283" s="40" customFormat="1" ht="17.45" customHeight="1"/>
    <row r="284" s="40" customFormat="1" ht="17.45" customHeight="1"/>
    <row r="285" s="40" customFormat="1" ht="17.45" customHeight="1"/>
    <row r="286" s="40" customFormat="1" ht="17.45" customHeight="1"/>
    <row r="287" s="40" customFormat="1" ht="17.45" customHeight="1"/>
    <row r="288" s="40" customFormat="1" ht="17.45" customHeight="1"/>
    <row r="289" s="40" customFormat="1" ht="17.45" customHeight="1"/>
    <row r="290" s="40" customFormat="1" ht="17.45" customHeight="1"/>
    <row r="291" s="40" customFormat="1" ht="17.45" customHeight="1"/>
    <row r="292" s="40" customFormat="1" ht="17.45" customHeight="1"/>
    <row r="293" s="40" customFormat="1" ht="17.45" customHeight="1"/>
    <row r="294" s="40" customFormat="1" ht="17.45" customHeight="1"/>
    <row r="295" s="40" customFormat="1" ht="17.45" customHeight="1"/>
    <row r="296" s="40" customFormat="1" ht="17.45" customHeight="1"/>
    <row r="297" s="40" customFormat="1" ht="17.45" customHeight="1"/>
    <row r="298" s="40" customFormat="1" ht="17.45" customHeight="1"/>
    <row r="299" s="40" customFormat="1" ht="17.45" customHeight="1"/>
    <row r="300" s="40" customFormat="1" ht="17.45" customHeight="1"/>
    <row r="301" s="40" customFormat="1" ht="17.45" customHeight="1"/>
    <row r="302" s="40" customFormat="1" ht="17.45" customHeight="1"/>
    <row r="303" s="40" customFormat="1" ht="17.45" customHeight="1"/>
    <row r="304" s="40" customFormat="1" ht="17.45" customHeight="1"/>
    <row r="305" s="40" customFormat="1" ht="17.45" customHeight="1"/>
    <row r="306" s="40" customFormat="1" ht="17.45" customHeight="1"/>
    <row r="307" s="40" customFormat="1" ht="17.45" customHeight="1"/>
    <row r="308" s="40" customFormat="1" ht="17.45" customHeight="1"/>
    <row r="309" s="40" customFormat="1" ht="17.45" customHeight="1"/>
    <row r="310" s="40" customFormat="1" ht="17.45" customHeight="1"/>
    <row r="311" s="40" customFormat="1" ht="17.45" customHeight="1"/>
    <row r="312" s="40" customFormat="1" ht="17.45" customHeight="1"/>
    <row r="313" s="40" customFormat="1" ht="17.45" customHeight="1"/>
    <row r="314" s="40" customFormat="1" ht="17.45" customHeight="1"/>
    <row r="315" s="40" customFormat="1" ht="17.45" customHeight="1"/>
    <row r="316" s="40" customFormat="1" ht="17.45" customHeight="1"/>
    <row r="317" s="40" customFormat="1" ht="17.45" customHeight="1"/>
    <row r="318" s="40" customFormat="1" ht="17.45" customHeight="1"/>
    <row r="319" s="40" customFormat="1" ht="17.45" customHeight="1"/>
    <row r="320" s="40" customFormat="1" ht="17.45" customHeight="1"/>
    <row r="321" s="40" customFormat="1" ht="17.45" customHeight="1"/>
    <row r="322" s="40" customFormat="1" ht="17.45" customHeight="1"/>
    <row r="323" s="40" customFormat="1" ht="17.45" customHeight="1"/>
    <row r="324" s="40" customFormat="1" ht="17.45" customHeight="1"/>
    <row r="325" s="40" customFormat="1" ht="17.45" customHeight="1"/>
    <row r="326" s="40" customFormat="1" ht="17.45" customHeight="1"/>
    <row r="327" s="40" customFormat="1" ht="17.45" customHeight="1"/>
    <row r="328" s="40" customFormat="1" ht="17.45" customHeight="1"/>
    <row r="329" s="40" customFormat="1" ht="17.45" customHeight="1"/>
    <row r="330" s="40" customFormat="1" ht="17.45" customHeight="1"/>
    <row r="331" s="40" customFormat="1" ht="17.45" customHeight="1"/>
    <row r="332" s="40" customFormat="1" ht="17.45" customHeight="1"/>
    <row r="333" s="40" customFormat="1" ht="17.45" customHeight="1"/>
    <row r="334" s="40" customFormat="1" ht="17.45" customHeight="1"/>
    <row r="335" s="40" customFormat="1" ht="17.45" customHeight="1"/>
    <row r="336" s="40" customFormat="1" ht="17.45" customHeight="1"/>
    <row r="337" s="40" customFormat="1" ht="17.45" customHeight="1"/>
    <row r="338" s="40" customFormat="1" ht="17.45" customHeight="1"/>
    <row r="339" s="40" customFormat="1" ht="17.45" customHeight="1"/>
    <row r="340" s="40" customFormat="1" ht="17.45" customHeight="1"/>
    <row r="341" s="40" customFormat="1" ht="17.45" customHeight="1"/>
    <row r="342" s="40" customFormat="1" ht="17.45" customHeight="1"/>
    <row r="343" s="40" customFormat="1" ht="17.45" customHeight="1"/>
    <row r="344" s="40" customFormat="1" ht="17.45" customHeight="1"/>
    <row r="345" s="40" customFormat="1" ht="17.45" customHeight="1"/>
    <row r="346" s="40" customFormat="1" ht="17.45" customHeight="1"/>
    <row r="347" s="40" customFormat="1" ht="17.45" customHeight="1"/>
    <row r="348" s="40" customFormat="1" ht="17.45" customHeight="1"/>
    <row r="349" s="40" customFormat="1" ht="17.45" customHeight="1"/>
    <row r="350" s="40" customFormat="1" ht="17.45" customHeight="1"/>
    <row r="351" s="40" customFormat="1" ht="17.45" customHeight="1"/>
    <row r="352" s="40" customFormat="1" ht="17.45" customHeight="1"/>
    <row r="353" s="40" customFormat="1" ht="17.45" customHeight="1"/>
    <row r="354" s="40" customFormat="1" ht="17.45" customHeight="1"/>
    <row r="355" s="40" customFormat="1" ht="17.45" customHeight="1"/>
    <row r="356" s="40" customFormat="1" ht="17.45" customHeight="1"/>
    <row r="357" s="40" customFormat="1" ht="17.45" customHeight="1"/>
    <row r="358" s="40" customFormat="1" ht="17.45" customHeight="1"/>
    <row r="359" s="40" customFormat="1" ht="17.45" customHeight="1"/>
    <row r="360" s="40" customFormat="1" ht="17.45" customHeight="1"/>
    <row r="361" s="40" customFormat="1" ht="17.45" customHeight="1"/>
    <row r="362" s="40" customFormat="1" ht="17.45" customHeight="1"/>
    <row r="363" s="40" customFormat="1" ht="17.45" customHeight="1"/>
    <row r="364" s="40" customFormat="1" ht="17.45" customHeight="1"/>
    <row r="365" s="40" customFormat="1" ht="17.45" customHeight="1"/>
    <row r="366" s="40" customFormat="1" ht="17.45" customHeight="1"/>
    <row r="367" s="40" customFormat="1" ht="17.45" customHeight="1"/>
    <row r="368" s="40" customFormat="1" ht="17.45" customHeight="1"/>
    <row r="369" s="40" customFormat="1" ht="17.45" customHeight="1"/>
    <row r="370" s="40" customFormat="1" ht="17.45" customHeight="1"/>
    <row r="371" s="40" customFormat="1" ht="17.45" customHeight="1"/>
    <row r="372" s="40" customFormat="1" ht="17.45" customHeight="1"/>
    <row r="373" s="40" customFormat="1" ht="17.45" customHeight="1"/>
    <row r="374" s="40" customFormat="1" ht="17.45" customHeight="1"/>
    <row r="375" s="40" customFormat="1" ht="17.45" customHeight="1"/>
    <row r="376" s="40" customFormat="1" ht="17.45" customHeight="1"/>
    <row r="377" s="40" customFormat="1" ht="17.45" customHeight="1"/>
    <row r="378" s="40" customFormat="1" ht="17.45" customHeight="1"/>
    <row r="379" s="40" customFormat="1" ht="17.45" customHeight="1"/>
    <row r="380" s="40" customFormat="1" ht="17.45" customHeight="1"/>
    <row r="381" s="40" customFormat="1" ht="17.45" customHeight="1"/>
    <row r="382" s="40" customFormat="1" ht="17.45" customHeight="1"/>
    <row r="383" s="40" customFormat="1" ht="17.45" customHeight="1"/>
    <row r="384" s="40" customFormat="1" ht="17.45" customHeight="1"/>
    <row r="385" s="40" customFormat="1" ht="17.45" customHeight="1"/>
    <row r="386" s="40" customFormat="1" ht="17.45" customHeight="1"/>
    <row r="387" s="40" customFormat="1" ht="17.45" customHeight="1"/>
    <row r="388" s="40" customFormat="1" ht="17.45" customHeight="1"/>
    <row r="389" s="40" customFormat="1" ht="17.45" customHeight="1"/>
    <row r="390" s="40" customFormat="1" ht="17.45" customHeight="1"/>
    <row r="391" s="40" customFormat="1" ht="17.45" customHeight="1"/>
    <row r="392" s="40" customFormat="1" ht="17.45" customHeight="1"/>
    <row r="393" s="40" customFormat="1" ht="17.45" customHeight="1"/>
    <row r="394" s="40" customFormat="1" ht="17.45" customHeight="1"/>
    <row r="395" s="40" customFormat="1" ht="17.45" customHeight="1"/>
    <row r="396" s="40" customFormat="1" ht="17.45" customHeight="1"/>
    <row r="397" s="40" customFormat="1" ht="17.45" customHeight="1"/>
    <row r="398" s="40" customFormat="1" ht="17.45" customHeight="1"/>
    <row r="399" s="40" customFormat="1" ht="17.45" customHeight="1"/>
    <row r="400" s="40" customFormat="1" ht="17.45" customHeight="1"/>
    <row r="401" s="40" customFormat="1" ht="17.45" customHeight="1"/>
    <row r="402" s="40" customFormat="1" ht="17.45" customHeight="1"/>
    <row r="403" s="40" customFormat="1" ht="17.45" customHeight="1"/>
    <row r="404" s="40" customFormat="1" ht="17.45" customHeight="1"/>
    <row r="405" s="40" customFormat="1" ht="17.45" customHeight="1"/>
    <row r="406" s="40" customFormat="1" ht="17.45" customHeight="1"/>
    <row r="407" s="40" customFormat="1" ht="17.45" customHeight="1"/>
    <row r="408" s="40" customFormat="1" ht="17.45" customHeight="1"/>
    <row r="409" s="40" customFormat="1" ht="17.45" customHeight="1"/>
    <row r="410" s="40" customFormat="1" ht="17.45" customHeight="1"/>
    <row r="411" s="40" customFormat="1" ht="17.45" customHeight="1"/>
    <row r="412" s="40" customFormat="1" ht="17.45" customHeight="1"/>
    <row r="413" s="40" customFormat="1" ht="17.45" customHeight="1"/>
    <row r="414" s="40" customFormat="1" ht="17.45" customHeight="1"/>
    <row r="415" s="40" customFormat="1" ht="17.45" customHeight="1"/>
    <row r="416" s="40" customFormat="1" ht="17.45" customHeight="1"/>
    <row r="417" s="40" customFormat="1" ht="17.45" customHeight="1"/>
    <row r="418" s="40" customFormat="1" ht="17.45" customHeight="1"/>
    <row r="419" s="40" customFormat="1" ht="17.45" customHeight="1"/>
    <row r="420" s="40" customFormat="1" ht="17.45" customHeight="1"/>
    <row r="421" s="40" customFormat="1" ht="17.45" customHeight="1"/>
    <row r="422" s="40" customFormat="1" ht="17.45" customHeight="1"/>
    <row r="423" s="40" customFormat="1" ht="17.45" customHeight="1"/>
    <row r="424" s="40" customFormat="1" ht="17.45" customHeight="1"/>
    <row r="425" s="40" customFormat="1" ht="17.45" customHeight="1"/>
    <row r="426" s="40" customFormat="1" ht="17.45" customHeight="1"/>
    <row r="427" s="40" customFormat="1" ht="17.45" customHeight="1"/>
    <row r="428" s="40" customFormat="1" ht="17.45" customHeight="1"/>
    <row r="429" s="40" customFormat="1" ht="17.45" customHeight="1"/>
    <row r="430" s="40" customFormat="1" ht="17.45" customHeight="1"/>
    <row r="431" s="40" customFormat="1" ht="17.45" customHeight="1"/>
    <row r="432" s="40" customFormat="1" ht="17.45" customHeight="1"/>
    <row r="433" s="40" customFormat="1" ht="17.45" customHeight="1"/>
    <row r="434" s="40" customFormat="1" ht="17.45" customHeight="1"/>
    <row r="435" s="40" customFormat="1" ht="17.45" customHeight="1"/>
    <row r="436" s="40" customFormat="1" ht="17.45" customHeight="1"/>
    <row r="437" s="40" customFormat="1" ht="17.45" customHeight="1"/>
    <row r="438" s="40" customFormat="1" ht="17.45" customHeight="1"/>
    <row r="439" s="40" customFormat="1" ht="17.45" customHeight="1"/>
    <row r="440" s="40" customFormat="1" ht="17.45" customHeight="1"/>
    <row r="441" s="40" customFormat="1" ht="17.45" customHeight="1"/>
    <row r="442" s="40" customFormat="1" ht="17.45" customHeight="1"/>
    <row r="443" s="40" customFormat="1" ht="17.45" customHeight="1"/>
    <row r="444" s="40" customFormat="1" ht="17.45" customHeight="1"/>
    <row r="445" s="40" customFormat="1" ht="17.45" customHeight="1"/>
    <row r="446" s="40" customFormat="1" ht="17.45" customHeight="1"/>
    <row r="447" s="40" customFormat="1" ht="17.45" customHeight="1"/>
    <row r="448" s="40" customFormat="1" ht="17.45" customHeight="1"/>
    <row r="449" s="40" customFormat="1" ht="17.45" customHeight="1"/>
    <row r="450" s="40" customFormat="1" ht="17.45" customHeight="1"/>
    <row r="451" s="40" customFormat="1" ht="17.45" customHeight="1"/>
    <row r="452" s="40" customFormat="1" ht="17.45" customHeight="1"/>
    <row r="453" s="40" customFormat="1" ht="17.45" customHeight="1"/>
    <row r="454" s="40" customFormat="1" ht="17.45" customHeight="1"/>
    <row r="455" s="40" customFormat="1" ht="17.45" customHeight="1"/>
    <row r="456" s="40" customFormat="1" ht="17.45" customHeight="1"/>
    <row r="457" s="40" customFormat="1" ht="17.45" customHeight="1"/>
    <row r="458" s="40" customFormat="1" ht="17.45" customHeight="1"/>
    <row r="459" s="40" customFormat="1" ht="17.45" customHeight="1"/>
    <row r="460" s="40" customFormat="1" ht="17.45" customHeight="1"/>
    <row r="461" s="40" customFormat="1" ht="17.45" customHeight="1"/>
    <row r="462" s="40" customFormat="1" ht="17.45" customHeight="1"/>
    <row r="463" s="40" customFormat="1" ht="17.45" customHeight="1"/>
    <row r="464" s="40" customFormat="1" ht="17.45" customHeight="1"/>
    <row r="465" s="40" customFormat="1" ht="17.45" customHeight="1"/>
    <row r="466" s="40" customFormat="1" ht="17.45" customHeight="1"/>
    <row r="467" s="40" customFormat="1" ht="17.45" customHeight="1"/>
    <row r="468" s="40" customFormat="1" ht="17.45" customHeight="1"/>
    <row r="469" s="40" customFormat="1" ht="17.45" customHeight="1"/>
    <row r="470" s="40" customFormat="1" ht="17.45" customHeight="1"/>
    <row r="471" s="40" customFormat="1" ht="17.45" customHeight="1"/>
    <row r="472" s="40" customFormat="1" ht="17.45" customHeight="1"/>
    <row r="473" s="40" customFormat="1" ht="17.45" customHeight="1"/>
    <row r="474" s="40" customFormat="1" ht="17.45" customHeight="1"/>
    <row r="475" s="40" customFormat="1" ht="17.45" customHeight="1"/>
    <row r="476" s="40" customFormat="1" ht="17.45" customHeight="1"/>
    <row r="477" s="40" customFormat="1" ht="17.45" customHeight="1"/>
    <row r="478" s="40" customFormat="1" ht="17.45" customHeight="1"/>
    <row r="479" s="40" customFormat="1" ht="17.45" customHeight="1"/>
    <row r="480" s="40" customFormat="1" ht="17.45" customHeight="1"/>
    <row r="481" s="40" customFormat="1" ht="17.45" customHeight="1"/>
    <row r="482" s="40" customFormat="1" ht="17.45" customHeight="1"/>
    <row r="483" s="40" customFormat="1" ht="17.45" customHeight="1"/>
    <row r="484" s="40" customFormat="1" ht="17.45" customHeight="1"/>
    <row r="485" s="40" customFormat="1" ht="17.45" customHeight="1"/>
    <row r="486" s="40" customFormat="1" ht="17.45" customHeight="1"/>
    <row r="487" s="40" customFormat="1" ht="17.45" customHeight="1"/>
    <row r="488" s="40" customFormat="1" ht="17.45" customHeight="1"/>
    <row r="489" s="40" customFormat="1" ht="17.45" customHeight="1"/>
    <row r="490" s="40" customFormat="1" ht="17.45" customHeight="1"/>
    <row r="491" s="40" customFormat="1" ht="17.45" customHeight="1"/>
    <row r="492" s="40" customFormat="1" ht="17.45" customHeight="1"/>
    <row r="493" s="40" customFormat="1" ht="17.45" customHeight="1"/>
    <row r="494" s="40" customFormat="1" ht="17.45" customHeight="1"/>
    <row r="495" s="40" customFormat="1" ht="17.45" customHeight="1"/>
    <row r="496" s="40" customFormat="1" ht="17.45" customHeight="1"/>
    <row r="497" s="40" customFormat="1" ht="17.45" customHeight="1"/>
    <row r="498" s="40" customFormat="1" ht="17.45" customHeight="1"/>
    <row r="499" s="40" customFormat="1" ht="17.45" customHeight="1"/>
    <row r="500" s="40" customFormat="1" ht="17.45" customHeight="1"/>
    <row r="501" s="40" customFormat="1" ht="17.45" customHeight="1"/>
    <row r="502" s="40" customFormat="1" ht="17.45" customHeight="1"/>
    <row r="503" s="40" customFormat="1" ht="17.45" customHeight="1"/>
    <row r="504" s="40" customFormat="1" ht="17.45" customHeight="1"/>
    <row r="505" s="40" customFormat="1" ht="17.45" customHeight="1"/>
    <row r="506" s="40" customFormat="1" ht="17.45" customHeight="1"/>
    <row r="507" s="40" customFormat="1" ht="17.45" customHeight="1"/>
    <row r="508" s="40" customFormat="1" ht="17.45" customHeight="1"/>
    <row r="509" s="40" customFormat="1" ht="17.45" customHeight="1"/>
    <row r="510" s="40" customFormat="1" ht="17.45" customHeight="1"/>
    <row r="511" s="40" customFormat="1" ht="17.45" customHeight="1"/>
    <row r="512" s="40" customFormat="1" ht="17.45" customHeight="1"/>
    <row r="513" s="40" customFormat="1" ht="17.45" customHeight="1"/>
    <row r="514" s="40" customFormat="1" ht="17.45" customHeight="1"/>
    <row r="515" s="40" customFormat="1" ht="17.45" customHeight="1"/>
    <row r="516" s="40" customFormat="1" ht="17.45" customHeight="1"/>
    <row r="517" s="40" customFormat="1" ht="17.45" customHeight="1"/>
    <row r="518" s="40" customFormat="1" ht="17.45" customHeight="1"/>
    <row r="519" s="40" customFormat="1" ht="17.45" customHeight="1"/>
    <row r="520" s="40" customFormat="1" ht="17.45" customHeight="1"/>
    <row r="521" s="40" customFormat="1" ht="17.45" customHeight="1"/>
    <row r="522" s="40" customFormat="1" ht="17.45" customHeight="1"/>
    <row r="523" s="40" customFormat="1" ht="17.45" customHeight="1"/>
    <row r="524" s="40" customFormat="1" ht="17.45" customHeight="1"/>
    <row r="525" s="40" customFormat="1" ht="17.45" customHeight="1"/>
    <row r="526" s="40" customFormat="1" ht="17.45" customHeight="1"/>
    <row r="527" s="40" customFormat="1" ht="17.45" customHeight="1"/>
    <row r="528" s="40" customFormat="1" ht="17.45" customHeight="1"/>
    <row r="529" s="40" customFormat="1" ht="17.45" customHeight="1"/>
    <row r="530" s="40" customFormat="1" ht="17.45" customHeight="1"/>
    <row r="531" s="40" customFormat="1" ht="17.45" customHeight="1"/>
    <row r="532" s="40" customFormat="1" ht="17.45" customHeight="1"/>
    <row r="533" s="40" customFormat="1" ht="17.45" customHeight="1"/>
    <row r="534" s="40" customFormat="1" ht="17.45" customHeight="1"/>
    <row r="535" s="40" customFormat="1" ht="17.45" customHeight="1"/>
    <row r="536" s="40" customFormat="1" ht="17.45" customHeight="1"/>
    <row r="537" s="40" customFormat="1" ht="17.45" customHeight="1"/>
    <row r="538" s="40" customFormat="1" ht="17.45" customHeight="1"/>
    <row r="539" s="40" customFormat="1" ht="17.45" customHeight="1"/>
    <row r="540" s="40" customFormat="1" ht="17.45" customHeight="1"/>
    <row r="541" s="40" customFormat="1" ht="17.45" customHeight="1"/>
    <row r="542" s="40" customFormat="1" ht="17.45" customHeight="1"/>
    <row r="543" s="40" customFormat="1" ht="17.45" customHeight="1"/>
    <row r="544" s="40" customFormat="1" ht="17.45" customHeight="1"/>
    <row r="545" s="40" customFormat="1" ht="17.45" customHeight="1"/>
    <row r="546" s="40" customFormat="1" ht="17.45" customHeight="1"/>
    <row r="547" s="40" customFormat="1" ht="17.45" customHeight="1"/>
    <row r="548" s="40" customFormat="1" ht="17.45" customHeight="1"/>
    <row r="549" s="40" customFormat="1" ht="17.45" customHeight="1"/>
    <row r="550" s="40" customFormat="1" ht="17.45" customHeight="1"/>
    <row r="551" s="40" customFormat="1" ht="17.45" customHeight="1"/>
    <row r="552" s="40" customFormat="1" ht="17.45" customHeight="1"/>
    <row r="553" s="40" customFormat="1" ht="17.45" customHeight="1"/>
    <row r="554" s="40" customFormat="1" ht="17.45" customHeight="1"/>
    <row r="555" s="40" customFormat="1" ht="17.45" customHeight="1"/>
    <row r="556" s="40" customFormat="1" ht="17.45" customHeight="1"/>
    <row r="557" s="40" customFormat="1" ht="17.45" customHeight="1"/>
    <row r="558" s="40" customFormat="1" ht="17.45" customHeight="1"/>
    <row r="559" s="40" customFormat="1" ht="17.45" customHeight="1"/>
    <row r="560" s="40" customFormat="1" ht="17.45" customHeight="1"/>
    <row r="561" s="40" customFormat="1" ht="17.45" customHeight="1"/>
    <row r="562" s="40" customFormat="1" ht="17.45" customHeight="1"/>
    <row r="563" s="40" customFormat="1" ht="17.45" customHeight="1"/>
    <row r="564" s="40" customFormat="1" ht="17.45" customHeight="1"/>
    <row r="565" s="40" customFormat="1" ht="17.45" customHeight="1"/>
    <row r="566" s="40" customFormat="1" ht="17.45" customHeight="1"/>
    <row r="567" s="40" customFormat="1" ht="17.45" customHeight="1"/>
    <row r="568" s="40" customFormat="1" ht="17.45" customHeight="1"/>
    <row r="569" s="40" customFormat="1" ht="17.45" customHeight="1"/>
    <row r="570" s="40" customFormat="1" ht="17.45" customHeight="1"/>
    <row r="571" s="40" customFormat="1" ht="17.45" customHeight="1"/>
    <row r="572" s="40" customFormat="1" ht="17.45" customHeight="1"/>
    <row r="573" s="40" customFormat="1" ht="17.45" customHeight="1"/>
    <row r="574" s="40" customFormat="1" ht="17.45" customHeight="1"/>
    <row r="575" s="40" customFormat="1" ht="17.45" customHeight="1"/>
    <row r="576" s="40" customFormat="1" ht="17.45" customHeight="1"/>
    <row r="577" s="40" customFormat="1" ht="17.45" customHeight="1"/>
    <row r="578" s="40" customFormat="1" ht="17.45" customHeight="1"/>
    <row r="579" s="40" customFormat="1" ht="17.45" customHeight="1"/>
    <row r="580" s="40" customFormat="1" ht="17.45" customHeight="1"/>
    <row r="581" s="40" customFormat="1" ht="17.45" customHeight="1"/>
    <row r="582" s="40" customFormat="1" ht="17.45" customHeight="1"/>
    <row r="583" s="40" customFormat="1" ht="17.45" customHeight="1"/>
    <row r="584" s="40" customFormat="1" ht="17.45" customHeight="1"/>
    <row r="585" s="40" customFormat="1" ht="17.45" customHeight="1"/>
    <row r="586" s="40" customFormat="1" ht="17.45" customHeight="1"/>
    <row r="587" s="40" customFormat="1" ht="17.45" customHeight="1"/>
    <row r="588" s="40" customFormat="1" ht="17.45" customHeight="1"/>
    <row r="589" s="40" customFormat="1" ht="17.45" customHeight="1"/>
    <row r="590" s="40" customFormat="1" ht="17.45" customHeight="1"/>
    <row r="591" s="40" customFormat="1" ht="17.45" customHeight="1"/>
    <row r="592" s="40" customFormat="1" ht="17.45" customHeight="1"/>
    <row r="593" s="40" customFormat="1" ht="17.45" customHeight="1"/>
    <row r="594" s="40" customFormat="1" ht="17.45" customHeight="1"/>
    <row r="595" s="40" customFormat="1" ht="17.45" customHeight="1"/>
    <row r="596" s="40" customFormat="1" ht="17.45" customHeight="1"/>
    <row r="597" s="40" customFormat="1" ht="17.45" customHeight="1"/>
    <row r="598" s="40" customFormat="1" ht="17.45" customHeight="1"/>
    <row r="599" s="40" customFormat="1" ht="17.45" customHeight="1"/>
    <row r="600" s="40" customFormat="1" ht="17.45" customHeight="1"/>
    <row r="601" s="40" customFormat="1" ht="17.45" customHeight="1"/>
    <row r="602" s="40" customFormat="1" ht="17.45" customHeight="1"/>
    <row r="603" s="40" customFormat="1" ht="17.45" customHeight="1"/>
    <row r="604" s="40" customFormat="1" ht="17.45" customHeight="1"/>
    <row r="605" s="40" customFormat="1" ht="17.45" customHeight="1"/>
    <row r="606" s="40" customFormat="1" ht="17.45" customHeight="1"/>
    <row r="607" s="40" customFormat="1" ht="17.45" customHeight="1"/>
    <row r="608" s="40" customFormat="1" ht="17.45" customHeight="1"/>
    <row r="609" s="40" customFormat="1" ht="17.45" customHeight="1"/>
    <row r="610" s="40" customFormat="1" ht="17.45" customHeight="1"/>
    <row r="611" s="40" customFormat="1" ht="17.45" customHeight="1"/>
    <row r="612" s="40" customFormat="1" ht="17.45" customHeight="1"/>
    <row r="613" s="40" customFormat="1" ht="17.45" customHeight="1"/>
    <row r="614" s="40" customFormat="1" ht="17.45" customHeight="1"/>
    <row r="615" s="40" customFormat="1" ht="17.45" customHeight="1"/>
    <row r="616" s="40" customFormat="1" ht="17.45" customHeight="1"/>
    <row r="617" s="40" customFormat="1" ht="17.45" customHeight="1"/>
    <row r="618" s="40" customFormat="1" ht="17.45" customHeight="1"/>
    <row r="619" s="40" customFormat="1" ht="17.45" customHeight="1"/>
    <row r="620" s="40" customFormat="1" ht="17.45" customHeight="1"/>
    <row r="621" s="40" customFormat="1" ht="17.45" customHeight="1"/>
    <row r="622" s="40" customFormat="1" ht="17.45" customHeight="1"/>
    <row r="623" s="40" customFormat="1" ht="17.45" customHeight="1"/>
    <row r="624" s="40" customFormat="1" ht="17.45" customHeight="1"/>
    <row r="625" s="40" customFormat="1" ht="17.45" customHeight="1"/>
    <row r="626" s="40" customFormat="1" ht="17.45" customHeight="1"/>
    <row r="627" s="40" customFormat="1" ht="17.45" customHeight="1"/>
    <row r="628" s="40" customFormat="1" ht="17.45" customHeight="1"/>
    <row r="629" s="40" customFormat="1" ht="17.45" customHeight="1"/>
    <row r="630" s="40" customFormat="1" ht="17.45" customHeight="1"/>
    <row r="631" s="40" customFormat="1" ht="17.45" customHeight="1"/>
    <row r="632" s="40" customFormat="1" ht="17.45" customHeight="1"/>
    <row r="633" s="40" customFormat="1" ht="17.45" customHeight="1"/>
    <row r="634" s="40" customFormat="1" ht="17.45" customHeight="1"/>
    <row r="635" s="40" customFormat="1" ht="17.45" customHeight="1"/>
    <row r="636" s="40" customFormat="1" ht="17.45" customHeight="1"/>
    <row r="637" s="40" customFormat="1" ht="17.45" customHeight="1"/>
    <row r="638" s="40" customFormat="1" ht="17.45" customHeight="1"/>
    <row r="639" s="40" customFormat="1" ht="17.45" customHeight="1"/>
    <row r="640" s="40" customFormat="1" ht="17.45" customHeight="1"/>
    <row r="641" s="40" customFormat="1" ht="17.45" customHeight="1"/>
    <row r="642" s="40" customFormat="1" ht="17.45" customHeight="1"/>
    <row r="643" s="40" customFormat="1" ht="17.45" customHeight="1"/>
    <row r="644" s="40" customFormat="1" ht="17.45" customHeight="1"/>
    <row r="645" s="40" customFormat="1" ht="17.45" customHeight="1"/>
    <row r="646" s="40" customFormat="1" ht="17.45" customHeight="1"/>
    <row r="647" s="40" customFormat="1" ht="17.45" customHeight="1"/>
    <row r="648" s="40" customFormat="1" ht="17.45" customHeight="1"/>
    <row r="649" s="40" customFormat="1" ht="17.45" customHeight="1"/>
    <row r="650" s="40" customFormat="1" ht="17.45" customHeight="1"/>
    <row r="651" s="40" customFormat="1" ht="17.45" customHeight="1"/>
    <row r="652" s="40" customFormat="1" ht="17.45" customHeight="1"/>
    <row r="653" s="40" customFormat="1" ht="17.45" customHeight="1"/>
    <row r="654" s="40" customFormat="1" ht="17.45" customHeight="1"/>
    <row r="655" s="40" customFormat="1" ht="17.45" customHeight="1"/>
    <row r="656" s="40" customFormat="1" ht="17.45" customHeight="1"/>
    <row r="657" s="40" customFormat="1" ht="17.45" customHeight="1"/>
    <row r="658" s="40" customFormat="1" ht="17.45" customHeight="1"/>
    <row r="659" s="40" customFormat="1" ht="17.45" customHeight="1"/>
    <row r="660" s="40" customFormat="1" ht="17.45" customHeight="1"/>
    <row r="661" s="40" customFormat="1" ht="17.45" customHeight="1"/>
    <row r="662" s="40" customFormat="1" ht="17.45" customHeight="1"/>
    <row r="663" s="40" customFormat="1" ht="17.45" customHeight="1"/>
    <row r="664" s="40" customFormat="1" ht="17.45" customHeight="1"/>
    <row r="665" s="40" customFormat="1" ht="17.45" customHeight="1"/>
    <row r="666" s="40" customFormat="1" ht="17.45" customHeight="1"/>
    <row r="667" s="40" customFormat="1" ht="17.45" customHeight="1"/>
    <row r="668" s="40" customFormat="1" ht="17.45" customHeight="1"/>
    <row r="669" s="40" customFormat="1" ht="17.45" customHeight="1"/>
    <row r="670" s="40" customFormat="1" ht="17.45" customHeight="1"/>
    <row r="671" s="40" customFormat="1" ht="17.45" customHeight="1"/>
    <row r="672" s="40" customFormat="1" ht="17.45" customHeight="1"/>
    <row r="673" s="40" customFormat="1" ht="17.45" customHeight="1"/>
    <row r="674" s="40" customFormat="1" ht="17.45" customHeight="1"/>
    <row r="675" s="40" customFormat="1" ht="17.45" customHeight="1"/>
    <row r="676" s="40" customFormat="1" ht="17.45" customHeight="1"/>
    <row r="677" s="40" customFormat="1" ht="17.45" customHeight="1"/>
    <row r="678" s="40" customFormat="1" ht="17.45" customHeight="1"/>
    <row r="679" s="40" customFormat="1" ht="17.45" customHeight="1"/>
    <row r="680" s="40" customFormat="1" ht="17.45" customHeight="1"/>
    <row r="681" s="40" customFormat="1" ht="17.45" customHeight="1"/>
    <row r="682" s="40" customFormat="1" ht="17.45" customHeight="1"/>
    <row r="683" s="40" customFormat="1" ht="17.45" customHeight="1"/>
    <row r="684" s="40" customFormat="1" ht="17.45" customHeight="1"/>
    <row r="685" s="40" customFormat="1" ht="17.45" customHeight="1"/>
    <row r="686" s="40" customFormat="1" ht="17.45" customHeight="1"/>
    <row r="687" s="40" customFormat="1" ht="17.45" customHeight="1"/>
    <row r="688" s="40" customFormat="1" ht="17.45" customHeight="1"/>
    <row r="689" s="40" customFormat="1" ht="17.45" customHeight="1"/>
    <row r="690" s="40" customFormat="1" ht="17.45" customHeight="1"/>
    <row r="691" s="40" customFormat="1" ht="17.45" customHeight="1"/>
    <row r="692" s="40" customFormat="1" ht="17.45" customHeight="1"/>
    <row r="693" s="40" customFormat="1" ht="17.45" customHeight="1"/>
    <row r="694" s="40" customFormat="1" ht="17.45" customHeight="1"/>
    <row r="695" s="40" customFormat="1" ht="17.45" customHeight="1"/>
    <row r="696" s="40" customFormat="1" ht="17.45" customHeight="1"/>
    <row r="697" s="40" customFormat="1" ht="17.45" customHeight="1"/>
    <row r="698" s="40" customFormat="1" ht="17.45" customHeight="1"/>
    <row r="699" s="40" customFormat="1" ht="17.45" customHeight="1"/>
    <row r="700" s="40" customFormat="1" ht="17.45" customHeight="1"/>
    <row r="701" s="40" customFormat="1" ht="17.45" customHeight="1"/>
    <row r="702" s="40" customFormat="1" ht="17.45" customHeight="1"/>
    <row r="703" s="40" customFormat="1" ht="17.45" customHeight="1"/>
    <row r="704" s="40" customFormat="1" ht="17.45" customHeight="1"/>
    <row r="705" s="40" customFormat="1" ht="17.45" customHeight="1"/>
    <row r="706" s="40" customFormat="1" ht="17.45" customHeight="1"/>
    <row r="707" s="40" customFormat="1" ht="17.45" customHeight="1"/>
    <row r="708" s="40" customFormat="1" ht="17.45" customHeight="1"/>
    <row r="709" s="40" customFormat="1" ht="17.45" customHeight="1"/>
    <row r="710" s="40" customFormat="1" ht="17.45" customHeight="1"/>
    <row r="711" s="40" customFormat="1" ht="17.45" customHeight="1"/>
    <row r="712" s="40" customFormat="1" ht="17.45" customHeight="1"/>
    <row r="713" s="40" customFormat="1" ht="17.45" customHeight="1"/>
    <row r="714" s="40" customFormat="1" ht="17.45" customHeight="1"/>
    <row r="715" s="40" customFormat="1" ht="17.45" customHeight="1"/>
    <row r="716" s="40" customFormat="1" ht="17.45" customHeight="1"/>
    <row r="717" s="40" customFormat="1" ht="17.45" customHeight="1"/>
    <row r="718" s="40" customFormat="1" ht="17.45" customHeight="1"/>
    <row r="719" s="40" customFormat="1" ht="17.45" customHeight="1"/>
    <row r="720" s="40" customFormat="1" ht="17.45" customHeight="1"/>
    <row r="721" s="40" customFormat="1" ht="17.45" customHeight="1"/>
    <row r="722" s="40" customFormat="1" ht="17.45" customHeight="1"/>
    <row r="723" s="40" customFormat="1" ht="17.45" customHeight="1"/>
    <row r="724" s="40" customFormat="1" ht="17.45" customHeight="1"/>
    <row r="725" s="40" customFormat="1" ht="17.45" customHeight="1"/>
    <row r="726" s="40" customFormat="1" ht="17.45" customHeight="1"/>
    <row r="727" s="40" customFormat="1" ht="17.45" customHeight="1"/>
    <row r="728" s="40" customFormat="1" ht="17.45" customHeight="1"/>
    <row r="729" s="40" customFormat="1" ht="17.45" customHeight="1"/>
    <row r="730" s="40" customFormat="1" ht="17.45" customHeight="1"/>
    <row r="731" s="40" customFormat="1" ht="17.45" customHeight="1"/>
    <row r="732" s="40" customFormat="1" ht="17.45" customHeight="1"/>
    <row r="733" s="40" customFormat="1" ht="17.45" customHeight="1"/>
    <row r="734" s="40" customFormat="1" ht="17.45" customHeight="1"/>
    <row r="735" s="40" customFormat="1" ht="17.45" customHeight="1"/>
    <row r="736" s="40" customFormat="1" ht="17.45" customHeight="1"/>
    <row r="737" s="40" customFormat="1" ht="17.45" customHeight="1"/>
    <row r="738" s="40" customFormat="1" ht="17.45" customHeight="1"/>
    <row r="739" s="40" customFormat="1" ht="17.45" customHeight="1"/>
    <row r="740" s="40" customFormat="1" ht="17.45" customHeight="1"/>
    <row r="741" s="40" customFormat="1" ht="17.45" customHeight="1"/>
    <row r="742" s="40" customFormat="1" ht="17.45" customHeight="1"/>
    <row r="743" s="40" customFormat="1" ht="17.45" customHeight="1"/>
    <row r="744" s="40" customFormat="1" ht="17.45" customHeight="1"/>
    <row r="745" s="40" customFormat="1" ht="17.45" customHeight="1"/>
    <row r="746" s="40" customFormat="1" ht="17.45" customHeight="1"/>
    <row r="747" s="40" customFormat="1" ht="17.45" customHeight="1"/>
    <row r="748" s="40" customFormat="1" ht="17.45" customHeight="1"/>
    <row r="749" s="40" customFormat="1" ht="17.45" customHeight="1"/>
    <row r="750" s="40" customFormat="1" ht="17.45" customHeight="1"/>
    <row r="751" s="40" customFormat="1" ht="17.45" customHeight="1"/>
    <row r="752" s="40" customFormat="1" ht="17.45" customHeight="1"/>
    <row r="753" s="40" customFormat="1" ht="17.45" customHeight="1"/>
    <row r="754" s="40" customFormat="1" ht="17.45" customHeight="1"/>
    <row r="755" s="40" customFormat="1" ht="17.45" customHeight="1"/>
    <row r="756" s="40" customFormat="1" ht="17.45" customHeight="1"/>
    <row r="757" s="40" customFormat="1" ht="17.45" customHeight="1"/>
    <row r="758" s="40" customFormat="1" ht="17.45" customHeight="1"/>
    <row r="759" s="40" customFormat="1" ht="17.45" customHeight="1"/>
    <row r="760" s="40" customFormat="1" ht="17.45" customHeight="1"/>
    <row r="761" s="40" customFormat="1" ht="17.45" customHeight="1"/>
    <row r="762" s="40" customFormat="1" ht="17.45" customHeight="1"/>
    <row r="763" s="40" customFormat="1" ht="17.45" customHeight="1"/>
    <row r="764" s="40" customFormat="1" ht="17.45" customHeight="1"/>
    <row r="765" s="40" customFormat="1" ht="17.45" customHeight="1"/>
    <row r="766" s="40" customFormat="1" ht="17.45" customHeight="1"/>
    <row r="767" s="40" customFormat="1" ht="17.45" customHeight="1"/>
    <row r="768" s="40" customFormat="1" ht="17.45" customHeight="1"/>
    <row r="769" s="40" customFormat="1" ht="17.45" customHeight="1"/>
    <row r="770" s="40" customFormat="1" ht="17.45" customHeight="1"/>
    <row r="771" s="40" customFormat="1" ht="17.45" customHeight="1"/>
    <row r="772" s="40" customFormat="1" ht="17.45" customHeight="1"/>
    <row r="773" s="40" customFormat="1" ht="17.45" customHeight="1"/>
    <row r="774" s="40" customFormat="1" ht="17.45" customHeight="1"/>
    <row r="775" s="40" customFormat="1" ht="17.45" customHeight="1"/>
    <row r="776" s="40" customFormat="1" ht="17.45" customHeight="1"/>
    <row r="777" s="40" customFormat="1" ht="17.45" customHeight="1"/>
    <row r="778" s="40" customFormat="1" ht="17.45" customHeight="1"/>
    <row r="779" s="40" customFormat="1" ht="17.45" customHeight="1"/>
    <row r="780" s="40" customFormat="1" ht="17.45" customHeight="1"/>
    <row r="781" s="40" customFormat="1" ht="17.45" customHeight="1"/>
    <row r="782" s="40" customFormat="1" ht="17.45" customHeight="1"/>
    <row r="783" s="40" customFormat="1" ht="17.45" customHeight="1"/>
    <row r="784" s="40" customFormat="1" ht="17.45" customHeight="1"/>
    <row r="785" s="40" customFormat="1" ht="17.45" customHeight="1"/>
    <row r="786" s="40" customFormat="1" ht="17.45" customHeight="1"/>
    <row r="787" s="40" customFormat="1" ht="17.45" customHeight="1"/>
    <row r="788" s="40" customFormat="1" ht="17.45" customHeight="1"/>
    <row r="789" s="40" customFormat="1" ht="17.45" customHeight="1"/>
    <row r="790" s="40" customFormat="1" ht="17.45" customHeight="1"/>
    <row r="791" s="40" customFormat="1" ht="17.45" customHeight="1"/>
    <row r="792" s="40" customFormat="1" ht="17.45" customHeight="1"/>
    <row r="793" s="40" customFormat="1" ht="17.45" customHeight="1"/>
    <row r="794" s="40" customFormat="1" ht="17.45" customHeight="1"/>
    <row r="795" s="40" customFormat="1" ht="17.45" customHeight="1"/>
    <row r="796" s="40" customFormat="1" ht="17.45" customHeight="1"/>
    <row r="797" s="40" customFormat="1" ht="17.45" customHeight="1"/>
    <row r="798" s="40" customFormat="1" ht="17.45" customHeight="1"/>
    <row r="799" s="40" customFormat="1" ht="17.45" customHeight="1"/>
    <row r="800" s="40" customFormat="1" ht="17.45" customHeight="1"/>
    <row r="801" s="40" customFormat="1" ht="17.45" customHeight="1"/>
    <row r="802" s="40" customFormat="1" ht="17.45" customHeight="1"/>
  </sheetData>
  <mergeCells count="1">
    <mergeCell ref="A35:N36"/>
  </mergeCells>
  <hyperlinks>
    <hyperlink ref="A38" location="'Read Me'!A1" display="Return to Read Me" xr:uid="{460A47DC-F80A-48D2-8B5B-85F306447D66}"/>
  </hyperlinks>
  <pageMargins left="0.7" right="0.7" top="0.75" bottom="0.75" header="0.3" footer="0.3"/>
  <pageSetup scale="60" orientation="landscape" r:id="rId1"/>
  <headerFooter>
    <oddFooter>&amp;L&amp;F, &amp;A, &amp;D, &amp;T&amp;Cp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15BE3-E866-4EC4-A2DB-68CF0A745AD9}">
  <sheetPr codeName="Sheet4"/>
  <dimension ref="A1:Z121"/>
  <sheetViews>
    <sheetView zoomScale="70" zoomScaleNormal="70" workbookViewId="0">
      <selection activeCell="AB19" sqref="AB19"/>
    </sheetView>
  </sheetViews>
  <sheetFormatPr defaultRowHeight="15"/>
  <cols>
    <col min="17" max="17" width="13.7109375" customWidth="1"/>
    <col min="18" max="18" width="10.42578125" style="8" bestFit="1" customWidth="1"/>
    <col min="19" max="19" width="9" style="8" bestFit="1" customWidth="1"/>
    <col min="20" max="20" width="10.42578125" style="8" bestFit="1" customWidth="1"/>
  </cols>
  <sheetData>
    <row r="1" spans="1:20" ht="26.25">
      <c r="A1" s="4" t="s">
        <v>12</v>
      </c>
      <c r="Q1" s="3"/>
      <c r="R1" s="16" t="s">
        <v>8</v>
      </c>
      <c r="S1" s="16" t="s">
        <v>9</v>
      </c>
      <c r="T1" s="16" t="s">
        <v>10</v>
      </c>
    </row>
    <row r="2" spans="1:20" ht="18">
      <c r="Q2" s="6">
        <v>43831</v>
      </c>
      <c r="R2" s="11">
        <v>0.7</v>
      </c>
      <c r="S2" s="11">
        <v>0.8</v>
      </c>
      <c r="T2" s="11">
        <v>0.7</v>
      </c>
    </row>
    <row r="3" spans="1:20" ht="18">
      <c r="Q3" s="6">
        <v>43862</v>
      </c>
      <c r="R3" s="11">
        <v>0.8</v>
      </c>
      <c r="S3" s="11">
        <v>0.9</v>
      </c>
      <c r="T3" s="11">
        <v>0.7</v>
      </c>
    </row>
    <row r="4" spans="1:20" ht="18">
      <c r="Q4" s="6">
        <v>43891</v>
      </c>
      <c r="R4" s="11">
        <v>0.8</v>
      </c>
      <c r="S4" s="11">
        <v>1</v>
      </c>
      <c r="T4" s="11">
        <v>0.7</v>
      </c>
    </row>
    <row r="5" spans="1:20" ht="18">
      <c r="Q5" s="6">
        <v>43922</v>
      </c>
      <c r="R5" s="11">
        <v>0.8</v>
      </c>
      <c r="S5" s="11">
        <v>1</v>
      </c>
      <c r="T5" s="11">
        <v>0.7</v>
      </c>
    </row>
    <row r="6" spans="1:20" ht="18">
      <c r="Q6" s="6">
        <v>43952</v>
      </c>
      <c r="R6" s="11">
        <v>0.8</v>
      </c>
      <c r="S6" s="11">
        <v>0.9</v>
      </c>
      <c r="T6" s="11">
        <v>0.7</v>
      </c>
    </row>
    <row r="7" spans="1:20" ht="18">
      <c r="Q7" s="6">
        <v>43983</v>
      </c>
      <c r="R7" s="11">
        <v>0.8</v>
      </c>
      <c r="S7" s="11">
        <v>0.8</v>
      </c>
      <c r="T7" s="11">
        <v>0.6</v>
      </c>
    </row>
    <row r="8" spans="1:20" ht="18">
      <c r="Q8" s="6">
        <v>44013</v>
      </c>
      <c r="R8" s="11">
        <v>0.9</v>
      </c>
      <c r="S8" s="11">
        <v>0.9</v>
      </c>
      <c r="T8" s="11">
        <v>0.7</v>
      </c>
    </row>
    <row r="9" spans="1:20" ht="18">
      <c r="Q9" s="6">
        <v>44044</v>
      </c>
      <c r="R9" s="11">
        <v>1</v>
      </c>
      <c r="S9" s="11">
        <v>1</v>
      </c>
      <c r="T9" s="11">
        <v>0.7</v>
      </c>
    </row>
    <row r="10" spans="1:20" ht="18">
      <c r="Q10" s="6">
        <v>44075</v>
      </c>
      <c r="R10" s="11">
        <v>1</v>
      </c>
      <c r="S10" s="11">
        <v>1</v>
      </c>
      <c r="T10" s="11">
        <v>0.7</v>
      </c>
    </row>
    <row r="11" spans="1:20" ht="18">
      <c r="Q11" s="6">
        <v>44105</v>
      </c>
      <c r="R11" s="11">
        <v>0.9</v>
      </c>
      <c r="S11" s="11">
        <v>0.9</v>
      </c>
      <c r="T11" s="11">
        <v>0.7</v>
      </c>
    </row>
    <row r="12" spans="1:20" ht="18">
      <c r="Q12" s="6">
        <v>44136</v>
      </c>
      <c r="R12" s="11">
        <v>0.9</v>
      </c>
      <c r="S12" s="11">
        <v>0.9</v>
      </c>
      <c r="T12" s="11">
        <v>0.6</v>
      </c>
    </row>
    <row r="13" spans="1:20" ht="18">
      <c r="Q13" s="6">
        <v>44166</v>
      </c>
      <c r="R13" s="11">
        <v>0.9</v>
      </c>
      <c r="S13" s="11">
        <v>0.8</v>
      </c>
      <c r="T13" s="11">
        <v>0.6</v>
      </c>
    </row>
    <row r="14" spans="1:20" ht="18">
      <c r="Q14" s="6">
        <v>44197</v>
      </c>
      <c r="R14" s="11">
        <v>0.9</v>
      </c>
      <c r="S14" s="11">
        <v>0.9</v>
      </c>
      <c r="T14" s="11">
        <v>0.6</v>
      </c>
    </row>
    <row r="15" spans="1:20" ht="18">
      <c r="Q15" s="6">
        <v>44228</v>
      </c>
      <c r="R15" s="11">
        <v>1.2</v>
      </c>
      <c r="S15" s="11">
        <v>1.1000000000000001</v>
      </c>
      <c r="T15" s="11">
        <v>0.6</v>
      </c>
    </row>
    <row r="16" spans="1:20" ht="18">
      <c r="Q16" s="6">
        <v>44256</v>
      </c>
      <c r="R16" s="11">
        <v>1.2</v>
      </c>
      <c r="S16" s="11">
        <v>1.1000000000000001</v>
      </c>
      <c r="T16" s="11">
        <v>0.7</v>
      </c>
    </row>
    <row r="17" spans="17:20" ht="18">
      <c r="Q17" s="6">
        <v>44287</v>
      </c>
      <c r="R17" s="11">
        <v>1.2</v>
      </c>
      <c r="S17" s="11">
        <v>1</v>
      </c>
      <c r="T17" s="11">
        <v>0.7</v>
      </c>
    </row>
    <row r="18" spans="17:20" ht="18">
      <c r="Q18" s="6">
        <v>44317</v>
      </c>
      <c r="R18" s="11">
        <v>1.2</v>
      </c>
      <c r="S18" s="11">
        <v>1</v>
      </c>
      <c r="T18" s="11">
        <v>0.7</v>
      </c>
    </row>
    <row r="19" spans="17:20" ht="18">
      <c r="Q19" s="6">
        <v>44348</v>
      </c>
      <c r="R19" s="11">
        <v>1.3</v>
      </c>
      <c r="S19" s="11">
        <v>1.2</v>
      </c>
      <c r="T19" s="11">
        <v>0.9</v>
      </c>
    </row>
    <row r="20" spans="17:20" ht="18">
      <c r="Q20" s="6">
        <v>44378</v>
      </c>
      <c r="R20" s="11">
        <v>1.3</v>
      </c>
      <c r="S20" s="11">
        <v>1.3</v>
      </c>
      <c r="T20" s="11">
        <v>1.3</v>
      </c>
    </row>
    <row r="21" spans="17:20" ht="18">
      <c r="Q21" s="6">
        <v>44409</v>
      </c>
      <c r="R21" s="11">
        <v>1.3</v>
      </c>
      <c r="S21" s="11">
        <v>1.3</v>
      </c>
      <c r="T21" s="11">
        <v>1.4</v>
      </c>
    </row>
    <row r="22" spans="17:20" ht="18">
      <c r="Q22" s="6">
        <v>44440</v>
      </c>
      <c r="R22" s="11">
        <v>1.4</v>
      </c>
      <c r="S22" s="11">
        <v>1.3</v>
      </c>
      <c r="T22" s="11">
        <v>1.5</v>
      </c>
    </row>
    <row r="23" spans="17:20" ht="18">
      <c r="Q23" s="6">
        <v>44470</v>
      </c>
      <c r="R23" s="11">
        <v>1.4</v>
      </c>
      <c r="S23" s="11">
        <v>2.1</v>
      </c>
      <c r="T23" s="11">
        <v>1.6</v>
      </c>
    </row>
    <row r="24" spans="17:20" ht="18">
      <c r="Q24" s="6">
        <v>44501</v>
      </c>
      <c r="R24" s="11">
        <v>1.5</v>
      </c>
      <c r="S24" s="11">
        <v>2.7</v>
      </c>
      <c r="T24" s="11">
        <v>1.7</v>
      </c>
    </row>
    <row r="25" spans="17:20" ht="18">
      <c r="Q25" s="6">
        <v>44531</v>
      </c>
      <c r="R25" s="11">
        <v>1.6</v>
      </c>
      <c r="S25" s="11">
        <v>2.7</v>
      </c>
      <c r="T25" s="11">
        <v>1.7</v>
      </c>
    </row>
    <row r="26" spans="17:20" ht="18">
      <c r="Q26" s="6">
        <v>44562</v>
      </c>
      <c r="R26" s="11">
        <v>1.4</v>
      </c>
      <c r="S26" s="11">
        <v>2.4</v>
      </c>
      <c r="T26" s="11">
        <v>1.5</v>
      </c>
    </row>
    <row r="27" spans="17:20" ht="18">
      <c r="Q27" s="6">
        <v>44593</v>
      </c>
      <c r="R27" s="11">
        <v>1.4</v>
      </c>
      <c r="S27" s="11">
        <v>2</v>
      </c>
      <c r="T27" s="11">
        <v>1.5</v>
      </c>
    </row>
    <row r="28" spans="17:20" ht="18">
      <c r="Q28" s="6">
        <v>44621</v>
      </c>
      <c r="R28" s="11">
        <v>1.6</v>
      </c>
      <c r="S28" s="11">
        <v>2.1</v>
      </c>
      <c r="T28" s="11">
        <v>1.6</v>
      </c>
    </row>
    <row r="29" spans="17:20" ht="18">
      <c r="Q29" s="6">
        <v>44652</v>
      </c>
      <c r="R29" s="11">
        <v>1.6</v>
      </c>
      <c r="S29" s="11">
        <v>2.2000000000000002</v>
      </c>
      <c r="T29" s="11">
        <v>2</v>
      </c>
    </row>
    <row r="30" spans="17:20" ht="18">
      <c r="Q30" s="6">
        <v>44682</v>
      </c>
      <c r="R30" s="11">
        <v>1.4</v>
      </c>
      <c r="S30" s="11">
        <v>1.7</v>
      </c>
      <c r="T30" s="11">
        <v>1.9</v>
      </c>
    </row>
    <row r="31" spans="17:20" ht="18">
      <c r="Q31" s="6">
        <v>44713</v>
      </c>
      <c r="R31" s="11">
        <v>1.4</v>
      </c>
      <c r="S31" s="11">
        <v>1.8</v>
      </c>
      <c r="T31" s="11">
        <v>1.9</v>
      </c>
    </row>
    <row r="32" spans="17:20" ht="18">
      <c r="Q32" s="6">
        <v>44743</v>
      </c>
      <c r="R32" s="11">
        <v>1.5</v>
      </c>
      <c r="S32" s="11">
        <v>1.7</v>
      </c>
      <c r="T32" s="11">
        <v>1.9</v>
      </c>
    </row>
    <row r="33" spans="1:20" ht="18">
      <c r="A33" s="7" t="s">
        <v>14</v>
      </c>
      <c r="B33" s="7"/>
      <c r="C33" s="7"/>
      <c r="Q33" s="6">
        <v>44774</v>
      </c>
      <c r="R33" s="11">
        <v>1.5</v>
      </c>
      <c r="S33" s="11">
        <v>1.7</v>
      </c>
      <c r="T33" s="11">
        <v>1.7</v>
      </c>
    </row>
    <row r="34" spans="1:20" ht="18" customHeight="1">
      <c r="A34" s="46" t="s">
        <v>15</v>
      </c>
      <c r="B34" s="47"/>
      <c r="C34" s="47"/>
      <c r="D34" s="47"/>
      <c r="E34" s="47"/>
      <c r="F34" s="47"/>
      <c r="G34" s="47"/>
      <c r="H34" s="47"/>
      <c r="I34" s="47"/>
      <c r="J34" s="47"/>
      <c r="K34" s="47"/>
      <c r="L34" s="47"/>
      <c r="M34" s="47"/>
      <c r="N34" s="47"/>
      <c r="O34" s="47"/>
      <c r="Q34" s="6">
        <v>44805</v>
      </c>
      <c r="R34" s="11">
        <v>1.5</v>
      </c>
      <c r="S34" s="11">
        <v>1.9</v>
      </c>
      <c r="T34" s="11">
        <v>1.4</v>
      </c>
    </row>
    <row r="35" spans="1:20" ht="18">
      <c r="A35" s="47"/>
      <c r="B35" s="47"/>
      <c r="C35" s="47"/>
      <c r="D35" s="47"/>
      <c r="E35" s="47"/>
      <c r="F35" s="47"/>
      <c r="G35" s="47"/>
      <c r="H35" s="47"/>
      <c r="I35" s="47"/>
      <c r="J35" s="47"/>
      <c r="K35" s="47"/>
      <c r="L35" s="47"/>
      <c r="M35" s="47"/>
      <c r="N35" s="47"/>
      <c r="O35" s="47"/>
      <c r="Q35" s="6">
        <v>44835</v>
      </c>
      <c r="R35" s="11">
        <v>1.4</v>
      </c>
      <c r="S35" s="11">
        <v>1.8</v>
      </c>
      <c r="T35" s="11">
        <v>1.2</v>
      </c>
    </row>
    <row r="36" spans="1:20" ht="18">
      <c r="A36" s="47"/>
      <c r="B36" s="47"/>
      <c r="C36" s="47"/>
      <c r="D36" s="47"/>
      <c r="E36" s="47"/>
      <c r="F36" s="47"/>
      <c r="G36" s="47"/>
      <c r="H36" s="47"/>
      <c r="I36" s="47"/>
      <c r="J36" s="47"/>
      <c r="K36" s="47"/>
      <c r="L36" s="47"/>
      <c r="M36" s="47"/>
      <c r="N36" s="47"/>
      <c r="O36" s="47"/>
      <c r="Q36" s="6">
        <v>44866</v>
      </c>
      <c r="R36" s="11">
        <v>1.3</v>
      </c>
      <c r="S36" s="11">
        <v>1.7</v>
      </c>
      <c r="T36" s="11">
        <v>1.1000000000000001</v>
      </c>
    </row>
    <row r="37" spans="1:20" ht="18" customHeight="1">
      <c r="Q37" s="6">
        <v>44896</v>
      </c>
      <c r="R37" s="11">
        <v>1.2</v>
      </c>
      <c r="S37" s="11">
        <v>1.5</v>
      </c>
      <c r="T37" s="11">
        <v>1</v>
      </c>
    </row>
    <row r="38" spans="1:20" ht="18">
      <c r="A38" s="2" t="s">
        <v>3</v>
      </c>
      <c r="Q38" s="6">
        <v>44927</v>
      </c>
      <c r="R38" s="11">
        <v>1.2</v>
      </c>
      <c r="S38" s="11">
        <v>1.3</v>
      </c>
      <c r="T38" s="11">
        <v>1</v>
      </c>
    </row>
    <row r="39" spans="1:20" ht="18">
      <c r="Q39" s="6">
        <v>44958</v>
      </c>
      <c r="R39" s="11">
        <v>1.2</v>
      </c>
      <c r="S39" s="11">
        <v>1</v>
      </c>
      <c r="T39" s="11">
        <v>1</v>
      </c>
    </row>
    <row r="40" spans="1:20" ht="18">
      <c r="Q40" s="6">
        <v>44986</v>
      </c>
      <c r="R40" s="11">
        <v>1.2</v>
      </c>
      <c r="S40" s="11">
        <v>0.9</v>
      </c>
      <c r="T40" s="11">
        <v>0.9</v>
      </c>
    </row>
    <row r="41" spans="1:20" ht="18">
      <c r="Q41" s="6">
        <v>45017</v>
      </c>
      <c r="R41" s="11">
        <v>1.3</v>
      </c>
      <c r="S41" s="11">
        <v>0.9</v>
      </c>
      <c r="T41" s="11">
        <v>0.8</v>
      </c>
    </row>
    <row r="42" spans="1:20" ht="18">
      <c r="Q42" s="6">
        <v>45047</v>
      </c>
      <c r="R42" s="11">
        <v>1</v>
      </c>
      <c r="S42" s="11">
        <v>1</v>
      </c>
      <c r="T42" s="11">
        <v>0.7</v>
      </c>
    </row>
    <row r="43" spans="1:20" ht="18">
      <c r="Q43" s="6">
        <v>45078</v>
      </c>
      <c r="R43" s="11">
        <v>1</v>
      </c>
      <c r="S43" s="11">
        <v>0.9</v>
      </c>
      <c r="T43" s="11">
        <v>0.7</v>
      </c>
    </row>
    <row r="44" spans="1:20" ht="18">
      <c r="Q44" s="6">
        <v>45108</v>
      </c>
      <c r="R44" s="11">
        <v>1</v>
      </c>
      <c r="S44" s="11">
        <v>1</v>
      </c>
      <c r="T44" s="11">
        <v>0.7</v>
      </c>
    </row>
    <row r="45" spans="1:20" ht="18">
      <c r="Q45" s="6">
        <v>45139</v>
      </c>
      <c r="R45" s="11">
        <v>1.1000000000000001</v>
      </c>
      <c r="S45" s="11">
        <v>1.2</v>
      </c>
      <c r="T45" s="11">
        <v>0.7</v>
      </c>
    </row>
    <row r="46" spans="1:20" ht="18">
      <c r="Q46" s="6">
        <v>45170</v>
      </c>
      <c r="R46" s="11">
        <v>1.1000000000000001</v>
      </c>
      <c r="S46" s="11">
        <v>1.1000000000000001</v>
      </c>
      <c r="T46" s="11">
        <v>0.7</v>
      </c>
    </row>
    <row r="47" spans="1:20" ht="18">
      <c r="Q47" s="6">
        <v>45200</v>
      </c>
      <c r="R47" s="11">
        <v>1.1000000000000001</v>
      </c>
      <c r="S47" s="11">
        <v>1.2</v>
      </c>
      <c r="T47" s="11">
        <v>0.7</v>
      </c>
    </row>
    <row r="48" spans="1:20" ht="18">
      <c r="Q48" s="6">
        <v>45231</v>
      </c>
      <c r="R48" s="11">
        <v>1.1000000000000001</v>
      </c>
      <c r="S48" s="11">
        <v>1.2</v>
      </c>
      <c r="T48" s="11">
        <v>0.7</v>
      </c>
    </row>
    <row r="49" spans="17:26" ht="18">
      <c r="Q49" s="6">
        <v>45261</v>
      </c>
      <c r="R49" s="11">
        <v>1.2</v>
      </c>
      <c r="S49" s="11">
        <v>1.1000000000000001</v>
      </c>
      <c r="T49" s="11">
        <v>0.7</v>
      </c>
    </row>
    <row r="50" spans="17:26" ht="18">
      <c r="Q50" s="6">
        <v>45292</v>
      </c>
      <c r="R50" s="11">
        <v>1.3</v>
      </c>
      <c r="S50" s="11">
        <v>1</v>
      </c>
      <c r="T50" s="11">
        <v>0.6</v>
      </c>
      <c r="V50" s="19"/>
      <c r="W50" s="19"/>
      <c r="X50" s="19"/>
    </row>
    <row r="51" spans="17:26" ht="18">
      <c r="Q51" s="6">
        <v>45323</v>
      </c>
      <c r="R51" s="11">
        <v>1.3</v>
      </c>
      <c r="S51" s="11">
        <v>1.1000000000000001</v>
      </c>
      <c r="T51" s="11">
        <v>0.6</v>
      </c>
      <c r="V51" s="19"/>
      <c r="W51" s="19"/>
      <c r="X51" s="19"/>
    </row>
    <row r="52" spans="17:26" ht="18">
      <c r="Q52" s="6">
        <v>45352</v>
      </c>
      <c r="R52" s="11">
        <v>1.3</v>
      </c>
      <c r="S52" s="11">
        <v>1</v>
      </c>
      <c r="T52" s="11">
        <v>0.6</v>
      </c>
      <c r="V52" s="19"/>
      <c r="W52" s="19"/>
      <c r="X52" s="19"/>
    </row>
    <row r="53" spans="17:26" ht="18">
      <c r="Q53" s="6">
        <v>45383</v>
      </c>
      <c r="R53" s="11">
        <v>1.2</v>
      </c>
      <c r="S53" s="11">
        <v>1</v>
      </c>
      <c r="T53" s="11">
        <v>0.7</v>
      </c>
      <c r="V53" s="19"/>
      <c r="W53" s="19"/>
      <c r="X53" s="19"/>
    </row>
    <row r="54" spans="17:26" ht="18">
      <c r="Q54" s="6">
        <v>45413</v>
      </c>
      <c r="R54" s="11">
        <v>1.1000000000000001</v>
      </c>
      <c r="S54" s="11">
        <v>0.9</v>
      </c>
      <c r="T54" s="11">
        <v>0.7</v>
      </c>
      <c r="V54" s="19"/>
      <c r="W54" s="19"/>
      <c r="X54" s="19"/>
    </row>
    <row r="55" spans="17:26" ht="18">
      <c r="Q55" s="6">
        <v>45444</v>
      </c>
      <c r="R55" s="11">
        <v>1.2</v>
      </c>
      <c r="S55" s="11">
        <v>1.1000000000000001</v>
      </c>
      <c r="T55" s="11">
        <v>0.7</v>
      </c>
      <c r="V55" s="19"/>
      <c r="W55" s="19"/>
      <c r="X55" s="19"/>
    </row>
    <row r="56" spans="17:26" ht="18">
      <c r="Q56" s="6">
        <v>45474</v>
      </c>
      <c r="R56" s="11">
        <v>1.2</v>
      </c>
      <c r="S56" s="11">
        <v>1.1000000000000001</v>
      </c>
      <c r="T56" s="11">
        <v>0.7</v>
      </c>
      <c r="V56" s="19"/>
      <c r="W56" s="19"/>
      <c r="X56" s="19"/>
    </row>
    <row r="57" spans="17:26" ht="18">
      <c r="Q57" s="6">
        <v>45505</v>
      </c>
      <c r="R57" s="11">
        <v>1.3</v>
      </c>
      <c r="S57" s="11">
        <v>1.1000000000000001</v>
      </c>
      <c r="T57" s="11">
        <v>0.7</v>
      </c>
      <c r="V57" s="19"/>
      <c r="W57" s="19"/>
      <c r="X57" s="19"/>
    </row>
    <row r="58" spans="17:26" ht="18">
      <c r="Q58" s="6">
        <v>45536</v>
      </c>
      <c r="R58" s="11">
        <v>1.2</v>
      </c>
      <c r="S58" s="11">
        <v>1.1000000000000001</v>
      </c>
      <c r="T58" s="11">
        <v>0.6</v>
      </c>
      <c r="V58" s="19"/>
      <c r="W58" s="19"/>
      <c r="X58" s="19"/>
    </row>
    <row r="59" spans="17:26" ht="18">
      <c r="Q59" s="6">
        <v>45566</v>
      </c>
      <c r="R59" s="11">
        <v>1.3</v>
      </c>
      <c r="S59" s="11">
        <v>1.2</v>
      </c>
      <c r="T59" s="11">
        <v>0.6</v>
      </c>
      <c r="V59" s="19"/>
      <c r="W59" s="19"/>
      <c r="X59" s="19"/>
    </row>
    <row r="60" spans="17:26" ht="18">
      <c r="Q60" s="6">
        <v>45598</v>
      </c>
      <c r="R60" s="11">
        <v>1.3</v>
      </c>
      <c r="S60" s="11">
        <v>1.1000000000000001</v>
      </c>
      <c r="T60" s="11">
        <v>0.6</v>
      </c>
      <c r="V60" s="19"/>
      <c r="W60" s="19"/>
      <c r="X60" s="19"/>
    </row>
    <row r="61" spans="17:26" ht="18">
      <c r="Q61" s="6">
        <v>45630</v>
      </c>
      <c r="R61" s="11">
        <v>1.3</v>
      </c>
      <c r="S61" s="11">
        <v>1.1000000000000001</v>
      </c>
      <c r="T61" s="11">
        <v>0.6</v>
      </c>
      <c r="V61" s="19"/>
      <c r="W61" s="19"/>
      <c r="X61" s="19"/>
    </row>
    <row r="62" spans="17:26" ht="18">
      <c r="Q62" s="6">
        <v>45662</v>
      </c>
      <c r="R62" s="11">
        <v>1.3886865742430408</v>
      </c>
      <c r="S62" s="11">
        <v>1.2288309662227705</v>
      </c>
      <c r="T62" s="11">
        <v>0.66753428789613889</v>
      </c>
      <c r="V62" s="20"/>
      <c r="W62" s="20"/>
      <c r="X62" s="20"/>
      <c r="Z62" s="17"/>
    </row>
    <row r="63" spans="17:26" ht="18">
      <c r="Q63" s="6">
        <v>45694</v>
      </c>
      <c r="R63" s="11">
        <v>1.4034632518440808</v>
      </c>
      <c r="S63" s="11">
        <v>1.4168881369985828</v>
      </c>
      <c r="T63" s="11">
        <v>0.70815880421991795</v>
      </c>
      <c r="V63" s="21"/>
      <c r="W63" s="21"/>
      <c r="X63" s="21"/>
      <c r="Z63" s="18"/>
    </row>
    <row r="64" spans="17:26" ht="18">
      <c r="Q64" s="6">
        <v>45726</v>
      </c>
      <c r="R64" s="11">
        <v>1.4345974276434392</v>
      </c>
      <c r="S64" s="11">
        <v>1.3147895961000784</v>
      </c>
      <c r="T64" s="11">
        <v>0.76700941281318347</v>
      </c>
      <c r="V64" s="20"/>
      <c r="W64" s="20"/>
      <c r="X64" s="20"/>
      <c r="Z64" s="17"/>
    </row>
    <row r="65" spans="17:26" ht="18">
      <c r="Q65" s="6">
        <v>45758</v>
      </c>
      <c r="R65" s="11">
        <v>1.4942131325275043</v>
      </c>
      <c r="S65" s="11">
        <v>1.29559211856958</v>
      </c>
      <c r="T65" s="11">
        <v>0.80652113179261009</v>
      </c>
      <c r="V65" s="21"/>
      <c r="W65" s="21"/>
      <c r="X65" s="21"/>
      <c r="Z65" s="18"/>
    </row>
    <row r="66" spans="17:26" ht="18">
      <c r="Q66" s="6">
        <v>45790</v>
      </c>
      <c r="R66" s="11">
        <v>1.6618231743945231</v>
      </c>
      <c r="S66" s="11">
        <v>1.3373145282452221</v>
      </c>
      <c r="T66" s="11">
        <v>0.84641754279352699</v>
      </c>
      <c r="V66" s="20"/>
      <c r="W66" s="20"/>
      <c r="X66" s="20"/>
      <c r="Z66" s="17"/>
    </row>
    <row r="67" spans="17:26" ht="18">
      <c r="Q67" s="6">
        <v>45822</v>
      </c>
      <c r="R67" s="11">
        <v>1.9966759993120826</v>
      </c>
      <c r="S67" s="11">
        <v>1.4554837641760252</v>
      </c>
      <c r="T67" s="11">
        <v>0.86026577296853413</v>
      </c>
      <c r="V67" s="21"/>
      <c r="W67" s="21"/>
      <c r="X67" s="21"/>
      <c r="Z67" s="18"/>
    </row>
    <row r="68" spans="17:26" ht="18">
      <c r="Q68" s="6">
        <v>45854</v>
      </c>
      <c r="R68" s="11">
        <v>2.0191129092507412</v>
      </c>
      <c r="S68" s="11">
        <v>1.6996602889323229</v>
      </c>
      <c r="T68" s="11">
        <v>0.85019316930393096</v>
      </c>
      <c r="V68" s="20"/>
      <c r="W68" s="20"/>
      <c r="X68" s="20"/>
      <c r="Z68" s="17"/>
    </row>
    <row r="69" spans="17:26" ht="18">
      <c r="Q69" s="6">
        <v>45886</v>
      </c>
      <c r="R69" s="11">
        <v>2.0633176231097594</v>
      </c>
      <c r="S69" s="11">
        <v>1.7566546013276101</v>
      </c>
      <c r="T69" s="11">
        <v>0.84424383465789643</v>
      </c>
      <c r="V69" s="21"/>
      <c r="W69" s="21"/>
      <c r="X69" s="21"/>
    </row>
    <row r="70" spans="17:26" ht="18">
      <c r="Q70" s="6">
        <v>45918</v>
      </c>
      <c r="R70" s="11">
        <v>2.4205510654521762</v>
      </c>
      <c r="S70" s="11">
        <v>1.5894743896084111</v>
      </c>
      <c r="T70" s="11">
        <v>0.83160755879393722</v>
      </c>
    </row>
    <row r="71" spans="17:26" ht="18">
      <c r="Q71" s="6"/>
      <c r="R71" s="11"/>
      <c r="S71" s="11"/>
      <c r="T71" s="11"/>
    </row>
    <row r="72" spans="17:26" ht="18">
      <c r="Q72" s="6"/>
      <c r="R72" s="11"/>
      <c r="S72" s="11"/>
      <c r="T72" s="11"/>
    </row>
    <row r="73" spans="17:26" ht="18">
      <c r="Q73" s="6"/>
      <c r="R73" s="11"/>
      <c r="S73" s="11"/>
      <c r="T73" s="11"/>
    </row>
    <row r="74" spans="17:26" ht="18">
      <c r="Q74" s="6"/>
      <c r="R74" s="11"/>
      <c r="S74" s="11"/>
      <c r="T74" s="11"/>
    </row>
    <row r="75" spans="17:26" ht="18">
      <c r="Q75" s="6"/>
      <c r="R75" s="11"/>
      <c r="S75" s="11"/>
      <c r="T75" s="11"/>
    </row>
    <row r="76" spans="17:26" ht="18">
      <c r="Q76" s="6"/>
      <c r="R76" s="11"/>
      <c r="S76" s="11"/>
      <c r="T76" s="11"/>
    </row>
    <row r="77" spans="17:26" ht="18">
      <c r="Q77" s="6"/>
      <c r="R77" s="11"/>
      <c r="S77" s="11"/>
      <c r="T77" s="11"/>
    </row>
    <row r="78" spans="17:26" ht="18">
      <c r="Q78" s="6"/>
      <c r="R78" s="11"/>
      <c r="S78" s="11"/>
      <c r="T78" s="11"/>
    </row>
    <row r="79" spans="17:26" ht="18">
      <c r="Q79" s="6"/>
      <c r="R79" s="11"/>
      <c r="S79" s="11"/>
      <c r="T79" s="11"/>
    </row>
    <row r="80" spans="17:26" ht="18">
      <c r="Q80" s="6"/>
      <c r="R80" s="11"/>
      <c r="S80" s="11"/>
      <c r="T80" s="11"/>
    </row>
    <row r="81" spans="17:20" ht="18">
      <c r="Q81" s="6"/>
      <c r="R81" s="11"/>
      <c r="S81" s="11"/>
      <c r="T81" s="11"/>
    </row>
    <row r="82" spans="17:20" ht="18">
      <c r="Q82" s="6"/>
      <c r="R82" s="11"/>
      <c r="S82" s="11"/>
      <c r="T82" s="11"/>
    </row>
    <row r="83" spans="17:20" ht="18">
      <c r="Q83" s="6"/>
      <c r="R83" s="11"/>
      <c r="S83" s="11"/>
      <c r="T83" s="11"/>
    </row>
    <row r="84" spans="17:20" ht="18">
      <c r="Q84" s="6"/>
      <c r="R84" s="11"/>
      <c r="S84" s="11"/>
      <c r="T84" s="11"/>
    </row>
    <row r="85" spans="17:20" ht="18">
      <c r="Q85" s="6"/>
      <c r="R85" s="11"/>
      <c r="S85" s="11"/>
      <c r="T85" s="11"/>
    </row>
    <row r="86" spans="17:20" ht="18">
      <c r="Q86" s="6"/>
      <c r="R86" s="11"/>
      <c r="S86" s="11"/>
      <c r="T86" s="11"/>
    </row>
    <row r="87" spans="17:20" ht="18">
      <c r="Q87" s="6"/>
      <c r="R87" s="11"/>
      <c r="S87" s="11"/>
      <c r="T87" s="11"/>
    </row>
    <row r="88" spans="17:20" ht="18">
      <c r="Q88" s="6"/>
      <c r="R88" s="11"/>
      <c r="S88" s="11"/>
      <c r="T88" s="11"/>
    </row>
    <row r="89" spans="17:20" ht="18">
      <c r="Q89" s="6"/>
      <c r="R89" s="11"/>
      <c r="S89" s="11"/>
      <c r="T89" s="11"/>
    </row>
    <row r="90" spans="17:20" ht="18">
      <c r="Q90" s="6"/>
      <c r="R90" s="11"/>
      <c r="S90" s="11"/>
      <c r="T90" s="11"/>
    </row>
    <row r="91" spans="17:20" ht="18">
      <c r="Q91" s="6"/>
      <c r="R91" s="11"/>
      <c r="S91" s="11"/>
      <c r="T91" s="11"/>
    </row>
    <row r="92" spans="17:20" ht="18">
      <c r="Q92" s="6"/>
      <c r="R92" s="11"/>
      <c r="S92" s="11"/>
      <c r="T92" s="11"/>
    </row>
    <row r="93" spans="17:20" ht="18">
      <c r="Q93" s="6"/>
      <c r="R93" s="11"/>
      <c r="S93" s="11"/>
      <c r="T93" s="11"/>
    </row>
    <row r="94" spans="17:20" ht="18">
      <c r="Q94" s="6"/>
      <c r="R94" s="11"/>
      <c r="S94" s="11"/>
      <c r="T94" s="11"/>
    </row>
    <row r="95" spans="17:20" ht="18">
      <c r="Q95" s="6"/>
      <c r="R95" s="11"/>
      <c r="S95" s="11"/>
      <c r="T95" s="11"/>
    </row>
    <row r="96" spans="17:20" ht="18">
      <c r="Q96" s="6"/>
      <c r="R96" s="11"/>
      <c r="S96" s="11"/>
      <c r="T96" s="11"/>
    </row>
    <row r="97" spans="17:20" ht="18">
      <c r="Q97" s="6"/>
      <c r="R97" s="11"/>
      <c r="S97" s="11"/>
      <c r="T97" s="11"/>
    </row>
    <row r="98" spans="17:20" ht="18">
      <c r="Q98" s="6"/>
      <c r="R98" s="11"/>
      <c r="S98" s="11"/>
      <c r="T98" s="11"/>
    </row>
    <row r="99" spans="17:20" ht="18">
      <c r="Q99" s="6"/>
      <c r="R99" s="11"/>
      <c r="S99" s="11"/>
      <c r="T99" s="11"/>
    </row>
    <row r="100" spans="17:20" ht="18">
      <c r="Q100" s="6"/>
      <c r="R100" s="11"/>
      <c r="S100" s="11"/>
      <c r="T100" s="11"/>
    </row>
    <row r="101" spans="17:20" ht="18">
      <c r="Q101" s="6"/>
      <c r="R101" s="11"/>
      <c r="S101" s="11"/>
      <c r="T101" s="11"/>
    </row>
    <row r="102" spans="17:20" ht="18">
      <c r="Q102" s="6"/>
      <c r="R102" s="11"/>
      <c r="S102" s="11"/>
      <c r="T102" s="11"/>
    </row>
    <row r="103" spans="17:20" ht="18">
      <c r="Q103" s="6"/>
      <c r="R103" s="11"/>
      <c r="S103" s="11"/>
      <c r="T103" s="11"/>
    </row>
    <row r="104" spans="17:20" ht="18">
      <c r="Q104" s="6"/>
      <c r="R104" s="11"/>
      <c r="S104" s="11"/>
      <c r="T104" s="11"/>
    </row>
    <row r="105" spans="17:20" ht="18">
      <c r="Q105" s="6"/>
      <c r="R105" s="11"/>
      <c r="S105" s="11"/>
      <c r="T105" s="11"/>
    </row>
    <row r="106" spans="17:20" ht="18">
      <c r="Q106" s="6"/>
      <c r="R106" s="11"/>
      <c r="S106" s="11"/>
      <c r="T106" s="11"/>
    </row>
    <row r="107" spans="17:20" ht="18">
      <c r="Q107" s="6"/>
      <c r="R107" s="11"/>
      <c r="S107" s="11"/>
      <c r="T107" s="11"/>
    </row>
    <row r="108" spans="17:20" ht="18">
      <c r="Q108" s="6"/>
      <c r="R108" s="11"/>
      <c r="S108" s="11"/>
      <c r="T108" s="11"/>
    </row>
    <row r="109" spans="17:20" ht="18">
      <c r="Q109" s="6"/>
      <c r="R109" s="11"/>
      <c r="S109" s="11"/>
      <c r="T109" s="11"/>
    </row>
    <row r="110" spans="17:20" ht="18">
      <c r="Q110" s="6"/>
      <c r="R110" s="11"/>
      <c r="S110" s="11"/>
      <c r="T110" s="11"/>
    </row>
    <row r="111" spans="17:20" ht="18">
      <c r="Q111" s="6"/>
      <c r="R111" s="11"/>
      <c r="S111" s="11"/>
      <c r="T111" s="11"/>
    </row>
    <row r="112" spans="17:20" ht="18">
      <c r="Q112" s="6"/>
      <c r="R112" s="11"/>
      <c r="S112" s="11"/>
      <c r="T112" s="11"/>
    </row>
    <row r="113" spans="17:20" ht="18">
      <c r="Q113" s="6"/>
      <c r="R113" s="11"/>
      <c r="S113" s="11"/>
      <c r="T113" s="11"/>
    </row>
    <row r="114" spans="17:20" ht="18">
      <c r="Q114" s="6"/>
      <c r="R114" s="11"/>
      <c r="S114" s="11"/>
      <c r="T114" s="11"/>
    </row>
    <row r="115" spans="17:20" ht="18">
      <c r="Q115" s="6"/>
      <c r="R115" s="11"/>
      <c r="S115" s="11"/>
      <c r="T115" s="11"/>
    </row>
    <row r="116" spans="17:20" ht="18">
      <c r="Q116" s="6"/>
      <c r="R116" s="11"/>
      <c r="S116" s="11"/>
      <c r="T116" s="11"/>
    </row>
    <row r="117" spans="17:20" ht="18">
      <c r="Q117" s="6"/>
      <c r="R117" s="11"/>
      <c r="S117" s="11"/>
      <c r="T117" s="11"/>
    </row>
    <row r="118" spans="17:20" ht="18">
      <c r="Q118" s="6"/>
      <c r="R118" s="11"/>
      <c r="S118" s="11"/>
      <c r="T118" s="11"/>
    </row>
    <row r="119" spans="17:20" ht="18">
      <c r="Q119" s="6"/>
      <c r="R119" s="11"/>
      <c r="S119" s="11"/>
      <c r="T119" s="11"/>
    </row>
    <row r="120" spans="17:20" ht="18">
      <c r="Q120" s="6"/>
      <c r="R120" s="11"/>
      <c r="S120" s="11"/>
      <c r="T120" s="11"/>
    </row>
    <row r="121" spans="17:20" ht="18">
      <c r="Q121" s="6"/>
      <c r="R121" s="11"/>
      <c r="S121" s="11"/>
      <c r="T121" s="11"/>
    </row>
  </sheetData>
  <mergeCells count="1">
    <mergeCell ref="A34:O36"/>
  </mergeCells>
  <hyperlinks>
    <hyperlink ref="A38" location="'Read Me'!A1" display="Return to Read Me" xr:uid="{69EFA14A-35B7-4B1E-9906-0AAD7EB1A578}"/>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7EDAA-29FF-44BD-B39F-D160423B7423}">
  <sheetPr codeName="Sheet6"/>
  <dimension ref="A1:AV57"/>
  <sheetViews>
    <sheetView zoomScale="66" zoomScaleNormal="30" workbookViewId="0">
      <selection activeCell="Q16" sqref="Q16"/>
    </sheetView>
  </sheetViews>
  <sheetFormatPr defaultRowHeight="15"/>
  <cols>
    <col min="17" max="17" width="27.7109375" customWidth="1"/>
    <col min="42" max="43" width="11.140625" bestFit="1" customWidth="1"/>
    <col min="44" max="44" width="9.5703125" bestFit="1" customWidth="1"/>
  </cols>
  <sheetData>
    <row r="1" spans="1:48" ht="26.25">
      <c r="A1" s="9" t="s">
        <v>17</v>
      </c>
    </row>
    <row r="3" spans="1:48">
      <c r="AB3" s="22"/>
    </row>
    <row r="4" spans="1:48" ht="18">
      <c r="Q4" s="23" t="s">
        <v>18</v>
      </c>
      <c r="R4" s="23" t="s">
        <v>19</v>
      </c>
      <c r="S4" s="23">
        <v>2022</v>
      </c>
      <c r="T4" s="23">
        <v>2023</v>
      </c>
      <c r="U4" s="23">
        <v>2024</v>
      </c>
      <c r="V4" s="23">
        <v>2025</v>
      </c>
      <c r="W4" s="25">
        <v>2026</v>
      </c>
      <c r="Y4">
        <v>2019</v>
      </c>
      <c r="Z4">
        <v>2020</v>
      </c>
      <c r="AA4">
        <v>2021</v>
      </c>
      <c r="AB4">
        <v>2022</v>
      </c>
      <c r="AC4">
        <v>2023</v>
      </c>
      <c r="AD4">
        <v>2024</v>
      </c>
      <c r="AE4">
        <v>2025</v>
      </c>
    </row>
    <row r="5" spans="1:48" ht="18">
      <c r="Q5" s="23" t="s">
        <v>20</v>
      </c>
      <c r="R5" s="23">
        <v>0.6</v>
      </c>
      <c r="S5" s="23">
        <v>0.3</v>
      </c>
      <c r="T5" s="23">
        <v>0.5</v>
      </c>
      <c r="U5" s="23">
        <v>0.12</v>
      </c>
      <c r="V5">
        <v>0.02</v>
      </c>
      <c r="W5">
        <f>(31+1)/100</f>
        <v>0.32</v>
      </c>
      <c r="X5" t="s">
        <v>11</v>
      </c>
      <c r="Y5">
        <v>494</v>
      </c>
      <c r="Z5">
        <v>545</v>
      </c>
      <c r="AA5">
        <v>529</v>
      </c>
      <c r="AB5">
        <v>283</v>
      </c>
      <c r="AC5">
        <v>425</v>
      </c>
      <c r="AD5">
        <v>26</v>
      </c>
      <c r="AE5">
        <v>490</v>
      </c>
    </row>
    <row r="6" spans="1:48" ht="18">
      <c r="Q6" s="23" t="s">
        <v>21</v>
      </c>
      <c r="R6" s="23">
        <v>1.1000000000000001</v>
      </c>
      <c r="S6" s="23">
        <v>0.6</v>
      </c>
      <c r="T6" s="23">
        <v>0.8</v>
      </c>
      <c r="U6" s="23">
        <v>0.14000000000000001</v>
      </c>
      <c r="V6">
        <f t="shared" ref="V6:V7" si="0">(1+8)/100</f>
        <v>0.09</v>
      </c>
      <c r="W6">
        <f>(11+1)/100</f>
        <v>0.12</v>
      </c>
      <c r="X6" t="s">
        <v>0</v>
      </c>
      <c r="Y6">
        <v>647</v>
      </c>
      <c r="Z6">
        <v>573</v>
      </c>
      <c r="AA6">
        <v>625</v>
      </c>
      <c r="AB6">
        <v>358</v>
      </c>
      <c r="AC6">
        <v>504</v>
      </c>
      <c r="AD6">
        <v>456</v>
      </c>
      <c r="AE6">
        <v>1687</v>
      </c>
      <c r="AJ6" s="12"/>
      <c r="AL6" s="13">
        <v>2019</v>
      </c>
      <c r="AM6" s="13">
        <v>2020</v>
      </c>
      <c r="AN6" s="13">
        <v>2021</v>
      </c>
      <c r="AO6" s="13">
        <v>2022</v>
      </c>
      <c r="AP6" s="13">
        <v>2023</v>
      </c>
      <c r="AQ6" s="13">
        <v>2024</v>
      </c>
      <c r="AR6" s="13">
        <v>2025</v>
      </c>
      <c r="AU6" t="s">
        <v>0</v>
      </c>
      <c r="AV6" t="s">
        <v>11</v>
      </c>
    </row>
    <row r="7" spans="1:48" ht="18">
      <c r="Q7" s="23" t="s">
        <v>22</v>
      </c>
      <c r="R7" s="23">
        <v>1.9</v>
      </c>
      <c r="S7" s="23">
        <v>1.1000000000000001</v>
      </c>
      <c r="T7" s="23">
        <v>1.2</v>
      </c>
      <c r="U7" s="23">
        <v>0.17</v>
      </c>
      <c r="V7">
        <f t="shared" si="0"/>
        <v>0.09</v>
      </c>
      <c r="AB7" s="10"/>
      <c r="AC7" s="10"/>
      <c r="AD7" s="10"/>
      <c r="AE7" s="10"/>
      <c r="AF7" s="10"/>
      <c r="AG7" s="10"/>
      <c r="AH7" s="10"/>
      <c r="AI7" s="10"/>
      <c r="AJ7" s="14" t="s">
        <v>0</v>
      </c>
      <c r="AK7" t="s">
        <v>20</v>
      </c>
      <c r="AL7">
        <v>3.9</v>
      </c>
      <c r="AM7">
        <v>1.1000000000000001</v>
      </c>
      <c r="AN7">
        <v>1.2</v>
      </c>
      <c r="AO7">
        <v>2.5</v>
      </c>
    </row>
    <row r="8" spans="1:48" ht="18">
      <c r="Q8" s="23" t="s">
        <v>23</v>
      </c>
      <c r="R8" s="23">
        <v>2.6</v>
      </c>
      <c r="S8" s="23">
        <v>1.4</v>
      </c>
      <c r="T8" s="23">
        <v>1.6</v>
      </c>
      <c r="U8" s="23">
        <v>0.56999999999999995</v>
      </c>
      <c r="V8">
        <f>(1+8)/100</f>
        <v>0.09</v>
      </c>
      <c r="Y8">
        <v>2019</v>
      </c>
      <c r="Z8">
        <v>2020</v>
      </c>
      <c r="AA8">
        <v>2021</v>
      </c>
      <c r="AB8">
        <v>2022</v>
      </c>
      <c r="AC8">
        <v>2023</v>
      </c>
      <c r="AD8">
        <v>2024</v>
      </c>
      <c r="AE8">
        <v>2025</v>
      </c>
      <c r="AJ8" s="12"/>
      <c r="AK8" t="s">
        <v>21</v>
      </c>
      <c r="AL8">
        <v>7.1999999999999993</v>
      </c>
      <c r="AM8">
        <v>2.6</v>
      </c>
      <c r="AN8">
        <v>4</v>
      </c>
      <c r="AO8">
        <v>3.6</v>
      </c>
    </row>
    <row r="9" spans="1:48" ht="18">
      <c r="Q9" s="23" t="s">
        <v>24</v>
      </c>
      <c r="R9" s="23">
        <v>3.7</v>
      </c>
      <c r="S9" s="23">
        <v>1.6</v>
      </c>
      <c r="T9" s="23">
        <v>2.2999999999999998</v>
      </c>
      <c r="U9" s="23">
        <v>1.1000000000000001</v>
      </c>
      <c r="V9">
        <f>(1+9)/100</f>
        <v>0.1</v>
      </c>
      <c r="X9" t="s">
        <v>11</v>
      </c>
      <c r="Y9">
        <f>Y5/100</f>
        <v>4.9400000000000004</v>
      </c>
      <c r="Z9">
        <f t="shared" ref="Z9:AE10" si="1">Z5/100</f>
        <v>5.45</v>
      </c>
      <c r="AA9">
        <f t="shared" si="1"/>
        <v>5.29</v>
      </c>
      <c r="AB9">
        <f t="shared" si="1"/>
        <v>2.83</v>
      </c>
      <c r="AC9">
        <f t="shared" si="1"/>
        <v>4.25</v>
      </c>
      <c r="AD9">
        <f t="shared" si="1"/>
        <v>0.26</v>
      </c>
      <c r="AE9">
        <f t="shared" si="1"/>
        <v>4.9000000000000004</v>
      </c>
      <c r="AJ9" s="12"/>
      <c r="AK9" t="s">
        <v>22</v>
      </c>
      <c r="AL9" s="15">
        <v>11.1</v>
      </c>
      <c r="AM9">
        <v>8.1</v>
      </c>
      <c r="AN9">
        <v>9.1999999999999993</v>
      </c>
      <c r="AO9">
        <v>7.4</v>
      </c>
    </row>
    <row r="10" spans="1:48" ht="18">
      <c r="Q10" s="23" t="s">
        <v>25</v>
      </c>
      <c r="R10" s="23">
        <v>4.5999999999999996</v>
      </c>
      <c r="S10" s="23">
        <v>2</v>
      </c>
      <c r="T10" s="23">
        <v>3.4</v>
      </c>
      <c r="U10" s="23">
        <v>1.65</v>
      </c>
      <c r="V10">
        <f>(7+51)/100</f>
        <v>0.57999999999999996</v>
      </c>
      <c r="X10" t="s">
        <v>0</v>
      </c>
      <c r="Y10">
        <f>Y6/100</f>
        <v>6.47</v>
      </c>
      <c r="Z10">
        <f t="shared" si="1"/>
        <v>5.73</v>
      </c>
      <c r="AA10">
        <f t="shared" si="1"/>
        <v>6.25</v>
      </c>
      <c r="AB10">
        <f t="shared" si="1"/>
        <v>3.58</v>
      </c>
      <c r="AC10">
        <f t="shared" si="1"/>
        <v>5.04</v>
      </c>
      <c r="AD10">
        <f t="shared" si="1"/>
        <v>4.5599999999999996</v>
      </c>
      <c r="AE10">
        <f t="shared" si="1"/>
        <v>16.87</v>
      </c>
      <c r="AJ10" s="12"/>
      <c r="AK10" t="s">
        <v>23</v>
      </c>
      <c r="AL10">
        <v>16.5</v>
      </c>
      <c r="AM10">
        <v>12.1</v>
      </c>
      <c r="AN10">
        <v>13.7</v>
      </c>
      <c r="AO10">
        <v>9.3000000000000007</v>
      </c>
    </row>
    <row r="11" spans="1:48" ht="21" customHeight="1">
      <c r="Q11" s="23" t="s">
        <v>26</v>
      </c>
      <c r="R11" s="23">
        <v>5.7</v>
      </c>
      <c r="S11" s="23">
        <v>2.5</v>
      </c>
      <c r="T11" s="23">
        <v>4.3</v>
      </c>
      <c r="U11" s="23">
        <v>2.2400000000000002</v>
      </c>
      <c r="V11">
        <f>(57+98)/100</f>
        <v>1.55</v>
      </c>
      <c r="AB11" s="24"/>
      <c r="AC11" s="24"/>
      <c r="AJ11" s="12"/>
      <c r="AK11" t="s">
        <v>24</v>
      </c>
      <c r="AL11">
        <v>21.5</v>
      </c>
      <c r="AM11">
        <v>14.8</v>
      </c>
      <c r="AN11">
        <v>23</v>
      </c>
      <c r="AO11">
        <v>10.9</v>
      </c>
    </row>
    <row r="12" spans="1:48" ht="18">
      <c r="Q12" s="23" t="s">
        <v>27</v>
      </c>
      <c r="R12" s="23">
        <v>6.7</v>
      </c>
      <c r="S12" s="23">
        <v>3.4</v>
      </c>
      <c r="T12" s="23">
        <v>4.9000000000000004</v>
      </c>
      <c r="U12" s="23">
        <v>2.87</v>
      </c>
      <c r="V12">
        <f>(80+55)/100</f>
        <v>1.35</v>
      </c>
      <c r="AJ12" s="12"/>
      <c r="AK12" t="s">
        <v>25</v>
      </c>
      <c r="AL12">
        <v>27.5</v>
      </c>
      <c r="AM12">
        <v>20.399999999999999</v>
      </c>
      <c r="AN12">
        <v>32.1</v>
      </c>
      <c r="AO12">
        <v>12.9</v>
      </c>
    </row>
    <row r="13" spans="1:48" ht="18">
      <c r="Q13" s="23" t="s">
        <v>28</v>
      </c>
      <c r="R13" s="23">
        <v>8.1999999999999993</v>
      </c>
      <c r="S13" s="23">
        <v>4.2</v>
      </c>
      <c r="T13" s="23">
        <v>6.4</v>
      </c>
      <c r="U13">
        <f>(U14+U12)/2</f>
        <v>3.3050000000000002</v>
      </c>
      <c r="V13">
        <f>(137+39)/100</f>
        <v>1.76</v>
      </c>
      <c r="AJ13" s="12"/>
      <c r="AK13" t="s">
        <v>26</v>
      </c>
      <c r="AL13">
        <v>36.299999999999997</v>
      </c>
      <c r="AM13">
        <v>28.099999999999998</v>
      </c>
      <c r="AN13">
        <v>41.900000000000006</v>
      </c>
      <c r="AO13">
        <v>16.3</v>
      </c>
    </row>
    <row r="14" spans="1:48" ht="18">
      <c r="Q14" s="23" t="s">
        <v>29</v>
      </c>
      <c r="R14" s="23">
        <v>9.6</v>
      </c>
      <c r="S14" s="23">
        <v>5.0999999999999996</v>
      </c>
      <c r="T14" s="23">
        <v>7.4</v>
      </c>
      <c r="U14">
        <f>(U15+U12)/2</f>
        <v>3.74</v>
      </c>
      <c r="V14">
        <f>(120+36)/100</f>
        <v>1.56</v>
      </c>
      <c r="AJ14" s="12"/>
      <c r="AK14" t="s">
        <v>27</v>
      </c>
      <c r="AL14">
        <v>41.3</v>
      </c>
      <c r="AM14">
        <v>36.099999999999994</v>
      </c>
      <c r="AN14">
        <v>47.400000000000006</v>
      </c>
      <c r="AO14">
        <v>21.5</v>
      </c>
    </row>
    <row r="15" spans="1:48" ht="18">
      <c r="Q15" s="23" t="s">
        <v>30</v>
      </c>
      <c r="R15" s="23">
        <v>10.7</v>
      </c>
      <c r="S15" s="23">
        <v>5.6</v>
      </c>
      <c r="T15" s="23">
        <v>8.6</v>
      </c>
      <c r="U15" s="23">
        <v>4.6100000000000003</v>
      </c>
      <c r="V15">
        <f>(60+45)/100</f>
        <v>1.05</v>
      </c>
      <c r="AJ15" s="12"/>
      <c r="AK15" t="s">
        <v>28</v>
      </c>
      <c r="AL15">
        <v>48.3</v>
      </c>
      <c r="AM15">
        <v>41.8</v>
      </c>
      <c r="AN15">
        <v>52.900000000000006</v>
      </c>
      <c r="AO15">
        <v>26.2</v>
      </c>
    </row>
    <row r="16" spans="1:48" ht="18">
      <c r="Q16" s="23" t="s">
        <v>31</v>
      </c>
      <c r="R16" s="23">
        <v>11.4</v>
      </c>
      <c r="S16" s="23">
        <v>6.4</v>
      </c>
      <c r="T16" s="23">
        <v>9.3000000000000007</v>
      </c>
      <c r="U16">
        <f>(26+456)/100</f>
        <v>4.82</v>
      </c>
      <c r="V16">
        <f>(28+16)/100</f>
        <v>0.44</v>
      </c>
      <c r="AJ16" s="12"/>
      <c r="AK16" t="s">
        <v>29</v>
      </c>
      <c r="AL16">
        <v>53.5</v>
      </c>
      <c r="AM16">
        <v>47.699999999999996</v>
      </c>
      <c r="AN16">
        <v>60.800000000000004</v>
      </c>
      <c r="AO16">
        <v>31.3</v>
      </c>
    </row>
    <row r="17" spans="1:44" ht="18">
      <c r="Q17" s="23"/>
      <c r="R17" s="23"/>
      <c r="S17" s="23"/>
      <c r="T17" s="23"/>
      <c r="AJ17" s="12"/>
      <c r="AK17" t="s">
        <v>30</v>
      </c>
      <c r="AL17">
        <v>61.2</v>
      </c>
      <c r="AM17">
        <v>52.499999999999993</v>
      </c>
      <c r="AN17">
        <v>62.1</v>
      </c>
      <c r="AO17">
        <v>33.299999999999997</v>
      </c>
    </row>
    <row r="18" spans="1:44">
      <c r="AJ18" s="12"/>
      <c r="AK18" t="s">
        <v>31</v>
      </c>
      <c r="AL18">
        <v>64.900000000000006</v>
      </c>
      <c r="AM18">
        <v>57.399999999999991</v>
      </c>
      <c r="AN18">
        <v>62.4</v>
      </c>
      <c r="AO18">
        <v>35.799999999999997</v>
      </c>
      <c r="AP18">
        <v>204</v>
      </c>
      <c r="AQ18">
        <v>456</v>
      </c>
      <c r="AR18">
        <v>287</v>
      </c>
    </row>
    <row r="19" spans="1:44">
      <c r="AJ19" s="12"/>
    </row>
    <row r="20" spans="1:44">
      <c r="AJ20" s="14" t="s">
        <v>11</v>
      </c>
      <c r="AK20" t="s">
        <v>20</v>
      </c>
      <c r="AL20">
        <v>5.9</v>
      </c>
      <c r="AM20">
        <v>3.1</v>
      </c>
      <c r="AN20">
        <v>2.9</v>
      </c>
      <c r="AO20">
        <v>0.9</v>
      </c>
    </row>
    <row r="21" spans="1:44" ht="23.1" customHeight="1">
      <c r="AJ21" s="12"/>
      <c r="AK21" t="s">
        <v>21</v>
      </c>
      <c r="AL21">
        <v>9.8000000000000007</v>
      </c>
      <c r="AM21">
        <v>5.0999999999999996</v>
      </c>
      <c r="AN21">
        <v>4.3</v>
      </c>
      <c r="AO21">
        <v>2.4</v>
      </c>
    </row>
    <row r="22" spans="1:44" ht="21" customHeight="1">
      <c r="AJ22" s="12"/>
      <c r="AK22" t="s">
        <v>22</v>
      </c>
      <c r="AL22">
        <v>13.100000000000001</v>
      </c>
      <c r="AM22">
        <v>7.8</v>
      </c>
      <c r="AN22">
        <v>8</v>
      </c>
      <c r="AO22">
        <v>3.0999999999999996</v>
      </c>
    </row>
    <row r="23" spans="1:44">
      <c r="AJ23" s="12"/>
      <c r="AK23" t="s">
        <v>23</v>
      </c>
      <c r="AL23">
        <v>14.100000000000001</v>
      </c>
      <c r="AM23">
        <v>8.9</v>
      </c>
      <c r="AN23">
        <v>13.4</v>
      </c>
      <c r="AO23">
        <v>4.5999999999999996</v>
      </c>
    </row>
    <row r="24" spans="1:44" ht="21.6" customHeight="1">
      <c r="AJ24" s="12"/>
      <c r="AK24" t="s">
        <v>24</v>
      </c>
      <c r="AL24">
        <v>16.3</v>
      </c>
      <c r="AM24">
        <v>14.9</v>
      </c>
      <c r="AN24">
        <v>19.399999999999999</v>
      </c>
      <c r="AO24">
        <v>5.5</v>
      </c>
    </row>
    <row r="25" spans="1:44">
      <c r="AJ25" s="12"/>
      <c r="AK25" t="s">
        <v>25</v>
      </c>
      <c r="AL25">
        <v>17.7</v>
      </c>
      <c r="AM25">
        <v>17.100000000000001</v>
      </c>
      <c r="AN25">
        <v>24.2</v>
      </c>
      <c r="AO25">
        <v>7.4</v>
      </c>
    </row>
    <row r="26" spans="1:44" ht="31.15" customHeight="1">
      <c r="AJ26" s="12"/>
      <c r="AK26" t="s">
        <v>26</v>
      </c>
      <c r="AL26">
        <v>20.399999999999999</v>
      </c>
      <c r="AM26">
        <v>18.900000000000002</v>
      </c>
      <c r="AN26">
        <v>26.599999999999998</v>
      </c>
      <c r="AO26">
        <v>8.6999999999999993</v>
      </c>
    </row>
    <row r="27" spans="1:44" ht="24" customHeight="1">
      <c r="V27">
        <f>(9+25)/100</f>
        <v>0.34</v>
      </c>
      <c r="AJ27" s="12"/>
      <c r="AK27" t="s">
        <v>27</v>
      </c>
      <c r="AL27">
        <v>27</v>
      </c>
      <c r="AM27">
        <v>20.900000000000002</v>
      </c>
      <c r="AN27">
        <v>29.2</v>
      </c>
      <c r="AO27">
        <v>12.3</v>
      </c>
    </row>
    <row r="28" spans="1:44">
      <c r="AJ28" s="12"/>
      <c r="AK28" t="s">
        <v>28</v>
      </c>
      <c r="AL28">
        <v>32.5</v>
      </c>
      <c r="AM28">
        <v>29.200000000000003</v>
      </c>
      <c r="AN28">
        <v>40.1</v>
      </c>
      <c r="AO28">
        <v>15.7</v>
      </c>
    </row>
    <row r="29" spans="1:44" ht="35.1" customHeight="1">
      <c r="AJ29" s="12"/>
      <c r="AK29" t="s">
        <v>29</v>
      </c>
      <c r="AL29">
        <v>39</v>
      </c>
      <c r="AM29">
        <v>40.1</v>
      </c>
      <c r="AN29">
        <v>47.5</v>
      </c>
      <c r="AO29">
        <v>19.2</v>
      </c>
    </row>
    <row r="30" spans="1:44">
      <c r="AJ30" s="12"/>
      <c r="AK30" t="s">
        <v>30</v>
      </c>
      <c r="AL30">
        <v>43.6</v>
      </c>
      <c r="AM30">
        <v>48.6</v>
      </c>
      <c r="AN30">
        <v>52.5</v>
      </c>
      <c r="AO30">
        <v>23</v>
      </c>
    </row>
    <row r="31" spans="1:44">
      <c r="AJ31" s="12"/>
      <c r="AK31" t="s">
        <v>31</v>
      </c>
      <c r="AL31">
        <v>49.6</v>
      </c>
      <c r="AM31">
        <v>54.4</v>
      </c>
      <c r="AN31">
        <v>52.9</v>
      </c>
      <c r="AO31">
        <v>283</v>
      </c>
      <c r="AP31">
        <v>425</v>
      </c>
      <c r="AQ31">
        <v>26</v>
      </c>
      <c r="AR31">
        <v>401</v>
      </c>
    </row>
    <row r="32" spans="1:44" ht="19.149999999999999" customHeight="1">
      <c r="A32" s="48" t="s">
        <v>32</v>
      </c>
      <c r="B32" s="48"/>
      <c r="C32" s="48"/>
      <c r="D32" s="48"/>
      <c r="E32" s="48"/>
      <c r="F32" s="48"/>
      <c r="G32" s="48"/>
      <c r="H32" s="48"/>
      <c r="I32" s="48"/>
    </row>
    <row r="33" spans="1:44">
      <c r="A33" s="46" t="s">
        <v>33</v>
      </c>
      <c r="B33" s="46"/>
      <c r="C33" s="46"/>
      <c r="D33" s="46"/>
      <c r="E33" s="46"/>
      <c r="F33" s="46"/>
      <c r="G33" s="46"/>
      <c r="H33" s="46"/>
      <c r="I33" s="46"/>
      <c r="J33" s="46"/>
      <c r="K33" s="46"/>
      <c r="L33" s="46"/>
      <c r="M33" s="46"/>
      <c r="N33" s="46"/>
      <c r="O33" s="46"/>
      <c r="AL33" s="13">
        <v>2019</v>
      </c>
      <c r="AM33" s="13">
        <v>2020</v>
      </c>
      <c r="AN33" s="13">
        <v>2021</v>
      </c>
      <c r="AO33" s="13">
        <v>2022</v>
      </c>
      <c r="AP33" s="13">
        <v>2023</v>
      </c>
      <c r="AQ33" s="13">
        <v>2024</v>
      </c>
      <c r="AR33" s="13">
        <v>2025</v>
      </c>
    </row>
    <row r="34" spans="1:44" ht="23.1" customHeight="1">
      <c r="A34" s="46"/>
      <c r="B34" s="46"/>
      <c r="C34" s="46"/>
      <c r="D34" s="46"/>
      <c r="E34" s="46"/>
      <c r="F34" s="46"/>
      <c r="G34" s="46"/>
      <c r="H34" s="46"/>
      <c r="I34" s="46"/>
      <c r="J34" s="46"/>
      <c r="K34" s="46"/>
      <c r="L34" s="46"/>
      <c r="M34" s="46"/>
      <c r="N34" s="46"/>
      <c r="O34" s="46"/>
      <c r="AK34" t="s">
        <v>0</v>
      </c>
      <c r="AL34">
        <f>AL18/10</f>
        <v>6.49</v>
      </c>
      <c r="AM34">
        <f t="shared" ref="AM34:AO34" si="2">AM18/10</f>
        <v>5.7399999999999993</v>
      </c>
      <c r="AN34">
        <f t="shared" si="2"/>
        <v>6.24</v>
      </c>
      <c r="AO34">
        <f t="shared" si="2"/>
        <v>3.5799999999999996</v>
      </c>
      <c r="AP34">
        <f t="shared" ref="AP34:AR34" si="3">AP18/100</f>
        <v>2.04</v>
      </c>
      <c r="AQ34">
        <f t="shared" si="3"/>
        <v>4.5599999999999996</v>
      </c>
      <c r="AR34">
        <f t="shared" si="3"/>
        <v>2.87</v>
      </c>
    </row>
    <row r="35" spans="1:44" ht="18">
      <c r="A35" s="2" t="s">
        <v>3</v>
      </c>
      <c r="B35" s="23"/>
      <c r="C35" s="23"/>
      <c r="AK35" t="s">
        <v>11</v>
      </c>
      <c r="AL35">
        <f>AL31/10</f>
        <v>4.96</v>
      </c>
      <c r="AM35">
        <f t="shared" ref="AM35:AN35" si="4">AM31/10</f>
        <v>5.4399999999999995</v>
      </c>
      <c r="AN35">
        <f t="shared" si="4"/>
        <v>5.29</v>
      </c>
      <c r="AO35">
        <f>AO31/100</f>
        <v>2.83</v>
      </c>
      <c r="AP35">
        <f t="shared" ref="AP35:AQ35" si="5">AP31/100</f>
        <v>4.25</v>
      </c>
      <c r="AQ35">
        <f t="shared" si="5"/>
        <v>0.26</v>
      </c>
      <c r="AR35">
        <f>AR31/100</f>
        <v>4.01</v>
      </c>
    </row>
    <row r="39" spans="1:44">
      <c r="AL39" s="13">
        <v>2019</v>
      </c>
      <c r="AM39" s="13">
        <v>2020</v>
      </c>
      <c r="AN39" s="13">
        <v>2021</v>
      </c>
      <c r="AO39" s="13">
        <v>2022</v>
      </c>
      <c r="AP39" s="13">
        <v>2023</v>
      </c>
      <c r="AQ39" s="13">
        <v>2024</v>
      </c>
      <c r="AR39" s="13">
        <v>2025</v>
      </c>
    </row>
    <row r="40" spans="1:44">
      <c r="AK40" t="s">
        <v>11</v>
      </c>
      <c r="AL40">
        <f>AL35</f>
        <v>4.96</v>
      </c>
      <c r="AM40">
        <f t="shared" ref="AM40:AQ40" si="6">AM35</f>
        <v>5.4399999999999995</v>
      </c>
      <c r="AN40">
        <f t="shared" si="6"/>
        <v>5.29</v>
      </c>
      <c r="AO40">
        <f t="shared" si="6"/>
        <v>2.83</v>
      </c>
      <c r="AP40">
        <f t="shared" si="6"/>
        <v>4.25</v>
      </c>
      <c r="AQ40">
        <f t="shared" si="6"/>
        <v>0.26</v>
      </c>
      <c r="AR40">
        <v>4.8899999999999997</v>
      </c>
    </row>
    <row r="41" spans="1:44">
      <c r="AK41" t="s">
        <v>0</v>
      </c>
      <c r="AL41">
        <f>AL34</f>
        <v>6.49</v>
      </c>
      <c r="AM41">
        <f t="shared" ref="AM41:AQ41" si="7">AM34</f>
        <v>5.7399999999999993</v>
      </c>
      <c r="AN41">
        <f t="shared" si="7"/>
        <v>6.24</v>
      </c>
      <c r="AO41">
        <f t="shared" si="7"/>
        <v>3.5799999999999996</v>
      </c>
      <c r="AP41">
        <f t="shared" si="7"/>
        <v>2.04</v>
      </c>
      <c r="AQ41">
        <f t="shared" si="7"/>
        <v>4.5599999999999996</v>
      </c>
      <c r="AR41">
        <v>3.48</v>
      </c>
    </row>
    <row r="45" spans="1:44">
      <c r="AK45" s="26"/>
      <c r="AL45" s="26"/>
      <c r="AM45" s="26"/>
    </row>
    <row r="46" spans="1:44">
      <c r="AK46" s="27"/>
      <c r="AL46" s="28"/>
      <c r="AM46" s="28"/>
    </row>
    <row r="47" spans="1:44">
      <c r="AK47" s="27"/>
      <c r="AL47" s="28"/>
      <c r="AM47" s="28"/>
    </row>
    <row r="48" spans="1:44">
      <c r="AK48" s="27"/>
      <c r="AL48" s="28"/>
      <c r="AM48" s="28"/>
    </row>
    <row r="49" spans="37:39">
      <c r="AK49" s="27"/>
      <c r="AL49" s="28"/>
      <c r="AM49" s="28"/>
    </row>
    <row r="50" spans="37:39">
      <c r="AK50" s="27"/>
      <c r="AL50" s="28"/>
      <c r="AM50" s="28"/>
    </row>
    <row r="51" spans="37:39">
      <c r="AK51" s="27"/>
      <c r="AL51" s="28"/>
      <c r="AM51" s="28"/>
    </row>
    <row r="52" spans="37:39">
      <c r="AK52" s="27"/>
      <c r="AL52" s="28"/>
      <c r="AM52" s="28"/>
    </row>
    <row r="53" spans="37:39">
      <c r="AK53" s="27"/>
      <c r="AL53" s="28"/>
      <c r="AM53" s="28"/>
    </row>
    <row r="54" spans="37:39">
      <c r="AK54" s="27"/>
      <c r="AL54" s="28"/>
      <c r="AM54" s="28"/>
    </row>
    <row r="55" spans="37:39">
      <c r="AK55" s="27"/>
      <c r="AL55" s="28"/>
      <c r="AM55" s="28"/>
    </row>
    <row r="56" spans="37:39">
      <c r="AK56" s="27"/>
      <c r="AL56" s="28"/>
      <c r="AM56" s="28"/>
    </row>
    <row r="57" spans="37:39">
      <c r="AK57" s="27" t="s">
        <v>31</v>
      </c>
      <c r="AL57" s="28">
        <v>20000</v>
      </c>
      <c r="AM57" s="28">
        <v>367200</v>
      </c>
    </row>
  </sheetData>
  <mergeCells count="2">
    <mergeCell ref="A32:I32"/>
    <mergeCell ref="A33:O34"/>
  </mergeCells>
  <hyperlinks>
    <hyperlink ref="A35" location="'Read Me'!A1" display="Return to Read Me" xr:uid="{8BB90CC2-259C-4092-85F4-EC17C578661F}"/>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6C9F8-0158-48E0-AD7F-F6CF9F025FF4}">
  <dimension ref="A1:N42"/>
  <sheetViews>
    <sheetView zoomScale="70" zoomScaleNormal="70" workbookViewId="0">
      <selection activeCell="O21" sqref="O21"/>
    </sheetView>
  </sheetViews>
  <sheetFormatPr defaultColWidth="9.140625" defaultRowHeight="18"/>
  <cols>
    <col min="1" max="1" width="9.140625" style="30"/>
    <col min="2" max="3" width="18.85546875" style="30" customWidth="1"/>
    <col min="4" max="4" width="18.85546875" style="30" bestFit="1" customWidth="1"/>
    <col min="5" max="5" width="10.7109375" style="30" bestFit="1" customWidth="1"/>
    <col min="6" max="6" width="18.85546875" style="30" bestFit="1" customWidth="1"/>
    <col min="7" max="7" width="18.5703125" style="30" bestFit="1" customWidth="1"/>
    <col min="8" max="8" width="17" style="30" bestFit="1" customWidth="1"/>
    <col min="9" max="10" width="9.140625" style="30"/>
    <col min="11" max="12" width="18.85546875" style="30" bestFit="1" customWidth="1"/>
    <col min="13" max="14" width="9.140625" style="30"/>
    <col min="15" max="15" width="13.140625" style="30" bestFit="1" customWidth="1"/>
    <col min="16" max="16" width="20.85546875" style="30" bestFit="1" customWidth="1"/>
    <col min="17" max="17" width="17.5703125" style="30" bestFit="1" customWidth="1"/>
    <col min="18" max="20" width="9.140625" style="30"/>
    <col min="21" max="21" width="12.28515625" style="30" bestFit="1" customWidth="1"/>
    <col min="22" max="16384" width="9.140625" style="30"/>
  </cols>
  <sheetData>
    <row r="1" spans="1:13" s="29" customFormat="1" ht="26.25">
      <c r="A1" s="9" t="s">
        <v>51</v>
      </c>
    </row>
    <row r="3" spans="1:13">
      <c r="K3" s="30" t="s">
        <v>39</v>
      </c>
      <c r="L3" s="30" t="s">
        <v>11</v>
      </c>
      <c r="M3" s="30">
        <v>40.6</v>
      </c>
    </row>
    <row r="4" spans="1:13">
      <c r="L4" s="30" t="s">
        <v>35</v>
      </c>
      <c r="M4" s="30">
        <v>20.5</v>
      </c>
    </row>
    <row r="5" spans="1:13">
      <c r="L5" s="30" t="s">
        <v>37</v>
      </c>
      <c r="M5" s="30">
        <v>9.9</v>
      </c>
    </row>
    <row r="6" spans="1:13">
      <c r="K6" s="30" t="s">
        <v>42</v>
      </c>
      <c r="L6" s="30" t="s">
        <v>34</v>
      </c>
      <c r="M6" s="30">
        <v>27.6</v>
      </c>
    </row>
    <row r="7" spans="1:13">
      <c r="L7" s="30" t="s">
        <v>38</v>
      </c>
      <c r="M7" s="30">
        <v>19.3</v>
      </c>
    </row>
    <row r="8" spans="1:13">
      <c r="L8" s="30" t="s">
        <v>36</v>
      </c>
      <c r="M8" s="30">
        <v>15.4</v>
      </c>
    </row>
    <row r="9" spans="1:13">
      <c r="L9" s="30" t="s">
        <v>41</v>
      </c>
      <c r="M9" s="30">
        <v>26.3</v>
      </c>
    </row>
    <row r="17" s="30" customFormat="1"/>
    <row r="18" s="30" customFormat="1"/>
    <row r="19" s="30" customFormat="1"/>
    <row r="20" s="30" customFormat="1"/>
    <row r="21" s="30" customFormat="1"/>
    <row r="22" s="30" customFormat="1"/>
    <row r="23" s="30" customFormat="1"/>
    <row r="24" s="30" customFormat="1"/>
    <row r="25" s="30" customFormat="1"/>
    <row r="26" s="30" customFormat="1"/>
    <row r="27" s="30" customFormat="1"/>
    <row r="28" s="30" customFormat="1"/>
    <row r="29" s="30" customFormat="1"/>
    <row r="30" s="30" customFormat="1"/>
    <row r="31" s="30" customFormat="1"/>
    <row r="32" s="30" customFormat="1"/>
    <row r="34" spans="1:14">
      <c r="A34" s="49" t="s">
        <v>57</v>
      </c>
      <c r="B34" s="37"/>
      <c r="C34" s="37"/>
      <c r="D34" s="37"/>
      <c r="E34" s="37"/>
      <c r="F34" s="31"/>
      <c r="G34" s="31"/>
      <c r="H34" s="31"/>
      <c r="N34" s="31"/>
    </row>
    <row r="35" spans="1:14" ht="17.25" customHeight="1">
      <c r="A35" s="44" t="s">
        <v>55</v>
      </c>
      <c r="B35" s="44"/>
      <c r="C35" s="44"/>
      <c r="D35" s="44"/>
      <c r="E35" s="44"/>
      <c r="F35" s="44"/>
      <c r="G35" s="44"/>
      <c r="H35" s="44"/>
      <c r="I35" s="36"/>
      <c r="J35" s="36"/>
      <c r="K35" s="36"/>
      <c r="L35" s="36"/>
      <c r="M35" s="36"/>
      <c r="N35" s="36"/>
    </row>
    <row r="36" spans="1:14">
      <c r="A36" s="44"/>
      <c r="B36" s="44"/>
      <c r="C36" s="44"/>
      <c r="D36" s="44"/>
      <c r="E36" s="44"/>
      <c r="F36" s="44"/>
      <c r="G36" s="44"/>
      <c r="H36" s="44"/>
      <c r="I36" s="36"/>
      <c r="J36" s="36"/>
      <c r="K36" s="36"/>
      <c r="L36" s="36"/>
      <c r="M36" s="36"/>
      <c r="N36" s="36"/>
    </row>
    <row r="37" spans="1:14">
      <c r="A37" s="44"/>
      <c r="B37" s="44"/>
      <c r="C37" s="44"/>
      <c r="D37" s="44"/>
      <c r="E37" s="44"/>
      <c r="F37" s="44"/>
      <c r="G37" s="44"/>
      <c r="H37" s="44"/>
      <c r="I37" s="36"/>
      <c r="J37" s="36"/>
      <c r="K37" s="36"/>
      <c r="L37" s="36"/>
      <c r="M37" s="36"/>
      <c r="N37" s="31"/>
    </row>
    <row r="38" spans="1:14">
      <c r="A38" s="44"/>
      <c r="B38" s="44"/>
      <c r="C38" s="44"/>
      <c r="D38" s="44"/>
      <c r="E38" s="44"/>
      <c r="F38" s="44"/>
      <c r="G38" s="44"/>
      <c r="H38" s="44"/>
      <c r="I38" s="36"/>
      <c r="J38" s="36"/>
      <c r="K38" s="36"/>
      <c r="L38" s="36"/>
      <c r="M38" s="36"/>
      <c r="N38" s="31"/>
    </row>
    <row r="39" spans="1:14">
      <c r="A39" s="44"/>
      <c r="B39" s="44"/>
      <c r="C39" s="44"/>
      <c r="D39" s="44"/>
      <c r="E39" s="44"/>
      <c r="F39" s="44"/>
      <c r="G39" s="44"/>
      <c r="H39" s="44"/>
      <c r="I39" s="36"/>
      <c r="J39" s="36"/>
      <c r="K39" s="36"/>
      <c r="L39" s="36"/>
      <c r="M39" s="36"/>
    </row>
    <row r="40" spans="1:14">
      <c r="A40" s="44"/>
      <c r="B40" s="44"/>
      <c r="C40" s="44"/>
      <c r="D40" s="44"/>
      <c r="E40" s="44"/>
      <c r="F40" s="44"/>
      <c r="G40" s="44"/>
      <c r="H40" s="44"/>
      <c r="I40" s="36"/>
      <c r="J40" s="36"/>
      <c r="K40" s="36"/>
      <c r="L40" s="36"/>
      <c r="M40" s="36"/>
    </row>
    <row r="42" spans="1:14">
      <c r="A42" s="2" t="s">
        <v>3</v>
      </c>
    </row>
  </sheetData>
  <mergeCells count="1">
    <mergeCell ref="A35:H40"/>
  </mergeCells>
  <hyperlinks>
    <hyperlink ref="A42" location="'Read Me'!A1" display="Return to Read Me" xr:uid="{D909BECC-AE2A-4984-9492-0AF9B3BBA19F}"/>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7F95-4536-4263-80EF-5E62C9C2AD0C}">
  <dimension ref="A1:R43"/>
  <sheetViews>
    <sheetView zoomScale="70" zoomScaleNormal="70" workbookViewId="0">
      <selection activeCell="O28" sqref="O28"/>
    </sheetView>
  </sheetViews>
  <sheetFormatPr defaultColWidth="9.140625" defaultRowHeight="18"/>
  <cols>
    <col min="1" max="3" width="9.140625" style="30"/>
    <col min="4" max="4" width="12.28515625" style="30" bestFit="1" customWidth="1"/>
    <col min="5" max="13" width="9.140625" style="30"/>
    <col min="14" max="14" width="9.140625" style="31"/>
    <col min="15" max="15" width="13.140625" style="30" bestFit="1" customWidth="1"/>
    <col min="16" max="16" width="21.5703125" style="30" bestFit="1" customWidth="1"/>
    <col min="17" max="16384" width="9.140625" style="30"/>
  </cols>
  <sheetData>
    <row r="1" spans="1:18" s="29" customFormat="1" ht="26.25">
      <c r="A1" s="9" t="s">
        <v>53</v>
      </c>
      <c r="N1"/>
    </row>
    <row r="3" spans="1:18">
      <c r="P3" s="30" t="s">
        <v>39</v>
      </c>
      <c r="Q3" s="30" t="s">
        <v>11</v>
      </c>
      <c r="R3" s="30">
        <v>26.9</v>
      </c>
    </row>
    <row r="4" spans="1:18">
      <c r="Q4" s="30" t="s">
        <v>35</v>
      </c>
      <c r="R4" s="30">
        <v>43.1</v>
      </c>
    </row>
    <row r="5" spans="1:18">
      <c r="Q5" s="30" t="s">
        <v>37</v>
      </c>
      <c r="R5" s="30">
        <v>78.3</v>
      </c>
    </row>
    <row r="6" spans="1:18">
      <c r="P6" s="30" t="s">
        <v>42</v>
      </c>
      <c r="Q6" s="30" t="s">
        <v>34</v>
      </c>
      <c r="R6" s="30">
        <v>8.5</v>
      </c>
    </row>
    <row r="7" spans="1:18">
      <c r="Q7" s="30" t="s">
        <v>38</v>
      </c>
      <c r="R7" s="30">
        <v>48.8</v>
      </c>
    </row>
    <row r="8" spans="1:18">
      <c r="Q8" s="30" t="s">
        <v>36</v>
      </c>
      <c r="R8" s="30">
        <v>27.6</v>
      </c>
    </row>
    <row r="9" spans="1:18">
      <c r="Q9" s="30" t="s">
        <v>40</v>
      </c>
      <c r="R9" s="30">
        <v>13</v>
      </c>
    </row>
    <row r="34" spans="1:13">
      <c r="A34" s="37" t="s">
        <v>56</v>
      </c>
      <c r="B34" s="37"/>
      <c r="C34" s="37"/>
      <c r="D34" s="37"/>
      <c r="E34" s="37"/>
      <c r="F34" s="31"/>
      <c r="G34" s="31"/>
      <c r="H34" s="31"/>
    </row>
    <row r="35" spans="1:13" ht="17.25" customHeight="1">
      <c r="A35" s="44" t="s">
        <v>55</v>
      </c>
      <c r="B35" s="44"/>
      <c r="C35" s="44"/>
      <c r="D35" s="44"/>
      <c r="E35" s="44"/>
      <c r="F35" s="44"/>
      <c r="G35" s="44"/>
      <c r="H35" s="44"/>
      <c r="I35" s="44"/>
      <c r="J35" s="44"/>
      <c r="K35" s="44"/>
      <c r="L35" s="44"/>
      <c r="M35" s="44"/>
    </row>
    <row r="36" spans="1:13">
      <c r="A36" s="44"/>
      <c r="B36" s="44"/>
      <c r="C36" s="44"/>
      <c r="D36" s="44"/>
      <c r="E36" s="44"/>
      <c r="F36" s="44"/>
      <c r="G36" s="44"/>
      <c r="H36" s="44"/>
      <c r="I36" s="44"/>
      <c r="J36" s="44"/>
      <c r="K36" s="44"/>
      <c r="L36" s="44"/>
      <c r="M36" s="44"/>
    </row>
    <row r="37" spans="1:13">
      <c r="A37" s="44"/>
      <c r="B37" s="44"/>
      <c r="C37" s="44"/>
      <c r="D37" s="44"/>
      <c r="E37" s="44"/>
      <c r="F37" s="44"/>
      <c r="G37" s="44"/>
      <c r="H37" s="44"/>
      <c r="I37" s="44"/>
      <c r="J37" s="44"/>
      <c r="K37" s="44"/>
      <c r="L37" s="44"/>
      <c r="M37" s="44"/>
    </row>
    <row r="38" spans="1:13">
      <c r="A38" s="44"/>
      <c r="B38" s="44"/>
      <c r="C38" s="44"/>
      <c r="D38" s="44"/>
      <c r="E38" s="44"/>
      <c r="F38" s="44"/>
      <c r="G38" s="44"/>
      <c r="H38" s="44"/>
      <c r="I38" s="44"/>
      <c r="J38" s="44"/>
      <c r="K38" s="44"/>
      <c r="L38" s="44"/>
      <c r="M38" s="44"/>
    </row>
    <row r="39" spans="1:13">
      <c r="A39" s="44"/>
      <c r="B39" s="44"/>
      <c r="C39" s="44"/>
      <c r="D39" s="44"/>
      <c r="E39" s="44"/>
      <c r="F39" s="44"/>
      <c r="G39" s="44"/>
      <c r="H39" s="44"/>
      <c r="I39" s="44"/>
      <c r="J39" s="44"/>
      <c r="K39" s="44"/>
      <c r="L39" s="44"/>
      <c r="M39" s="44"/>
    </row>
    <row r="40" spans="1:13">
      <c r="A40" s="44"/>
      <c r="B40" s="44"/>
      <c r="C40" s="44"/>
      <c r="D40" s="44"/>
      <c r="E40" s="44"/>
      <c r="F40" s="44"/>
      <c r="G40" s="44"/>
      <c r="H40" s="44"/>
      <c r="I40" s="44"/>
      <c r="J40" s="44"/>
      <c r="K40" s="44"/>
      <c r="L40" s="44"/>
      <c r="M40" s="44"/>
    </row>
    <row r="41" spans="1:13">
      <c r="A41" s="44"/>
      <c r="B41" s="44"/>
      <c r="C41" s="44"/>
      <c r="D41" s="44"/>
      <c r="E41" s="44"/>
      <c r="F41" s="44"/>
      <c r="G41" s="44"/>
      <c r="H41" s="44"/>
      <c r="I41" s="44"/>
      <c r="J41" s="44"/>
      <c r="K41" s="44"/>
      <c r="L41" s="44"/>
      <c r="M41" s="44"/>
    </row>
    <row r="43" spans="1:13">
      <c r="A43" s="2" t="s">
        <v>3</v>
      </c>
    </row>
  </sheetData>
  <mergeCells count="1">
    <mergeCell ref="A35:M41"/>
  </mergeCells>
  <hyperlinks>
    <hyperlink ref="A43" location="'Read Me'!A1" display="Return to Read Me" xr:uid="{D57F2EF2-26C7-4E25-B7BA-B9DA21ABF515}"/>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18.A</vt:lpstr>
      <vt:lpstr>18.B</vt:lpstr>
      <vt:lpstr>18.C</vt:lpstr>
      <vt:lpstr>18.D</vt:lpstr>
      <vt:lpstr>17.C</vt:lpstr>
      <vt:lpstr>16.D</vt:lpstr>
      <vt:lpstr>18.E</vt:lpstr>
      <vt:lpstr>18.F</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Kaltrina Temaj</dc:creator>
  <cp:lastModifiedBy>Kaltrina Temaj</cp:lastModifiedBy>
  <dcterms:created xsi:type="dcterms:W3CDTF">2024-04-23T20:09:12Z</dcterms:created>
  <dcterms:modified xsi:type="dcterms:W3CDTF">2026-04-27T19:22:43Z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2026-04-25T18:35:33Z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f3912f69-3f28-490b-8769-fe800287856c</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